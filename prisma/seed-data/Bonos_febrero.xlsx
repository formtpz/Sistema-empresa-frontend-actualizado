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aim\Documents\Dev\Sistema-empresa\frontend\prisma\seed-data\"/>
    </mc:Choice>
  </mc:AlternateContent>
  <xr:revisionPtr revIDLastSave="0" documentId="13_ncr:1_{3E5126BB-DAD9-4634-B020-773341247386}" xr6:coauthVersionLast="47" xr6:coauthVersionMax="47" xr10:uidLastSave="{00000000-0000-0000-0000-000000000000}"/>
  <bookViews>
    <workbookView xWindow="-120" yWindow="-120" windowWidth="29040" windowHeight="15720" xr2:uid="{AE8F00EA-16BC-4BAB-9EEF-C5B845D95AAD}"/>
  </bookViews>
  <sheets>
    <sheet name="Enero" sheetId="2" r:id="rId1"/>
  </sheets>
  <externalReferences>
    <externalReference r:id="rId2"/>
  </externalReferences>
  <definedNames>
    <definedName name="_xlnm._FilterDatabase" localSheetId="0" hidden="1">Enero!$A$1:$AI$1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" i="2" l="1"/>
  <c r="O49" i="2" s="1"/>
  <c r="M48" i="2"/>
  <c r="O48" i="2" s="1"/>
  <c r="M47" i="2"/>
  <c r="O47" i="2" s="1"/>
  <c r="M46" i="2"/>
  <c r="O46" i="2" s="1"/>
  <c r="M45" i="2"/>
  <c r="O45" i="2" s="1"/>
  <c r="M44" i="2"/>
  <c r="O44" i="2" s="1"/>
  <c r="M43" i="2"/>
  <c r="O43" i="2" s="1"/>
  <c r="M42" i="2"/>
  <c r="O42" i="2" s="1"/>
  <c r="M41" i="2"/>
  <c r="O41" i="2" s="1"/>
  <c r="M40" i="2"/>
  <c r="O40" i="2" s="1"/>
  <c r="M39" i="2"/>
  <c r="O39" i="2" s="1"/>
  <c r="M38" i="2"/>
  <c r="O38" i="2" s="1"/>
  <c r="M37" i="2"/>
  <c r="O37" i="2" s="1"/>
  <c r="M36" i="2"/>
  <c r="O36" i="2" s="1"/>
  <c r="M35" i="2"/>
  <c r="O35" i="2" s="1"/>
  <c r="M34" i="2"/>
  <c r="O34" i="2" s="1"/>
  <c r="M33" i="2"/>
  <c r="O33" i="2" s="1"/>
  <c r="M32" i="2"/>
  <c r="O32" i="2" s="1"/>
  <c r="M31" i="2"/>
  <c r="O31" i="2" s="1"/>
  <c r="M30" i="2"/>
  <c r="O30" i="2" s="1"/>
  <c r="M29" i="2"/>
  <c r="O29" i="2" s="1"/>
  <c r="M28" i="2"/>
  <c r="O28" i="2" s="1"/>
  <c r="M27" i="2"/>
  <c r="O27" i="2" s="1"/>
  <c r="M26" i="2"/>
  <c r="O26" i="2" s="1"/>
  <c r="M25" i="2"/>
  <c r="O25" i="2" s="1"/>
  <c r="M24" i="2"/>
  <c r="O24" i="2" s="1"/>
  <c r="M23" i="2"/>
  <c r="O23" i="2" s="1"/>
  <c r="M22" i="2"/>
  <c r="O22" i="2" s="1"/>
  <c r="M21" i="2"/>
  <c r="O21" i="2" s="1"/>
  <c r="M20" i="2"/>
  <c r="O20" i="2" s="1"/>
  <c r="M19" i="2"/>
  <c r="O19" i="2" s="1"/>
  <c r="M18" i="2"/>
  <c r="O18" i="2" s="1"/>
  <c r="M17" i="2"/>
  <c r="O17" i="2" s="1"/>
  <c r="M16" i="2"/>
  <c r="O16" i="2" s="1"/>
  <c r="M15" i="2"/>
  <c r="O15" i="2" s="1"/>
  <c r="M14" i="2"/>
  <c r="O14" i="2" s="1"/>
  <c r="M13" i="2"/>
  <c r="O13" i="2" s="1"/>
  <c r="M12" i="2"/>
  <c r="O12" i="2" s="1"/>
  <c r="M11" i="2"/>
  <c r="O11" i="2" s="1"/>
  <c r="M10" i="2"/>
  <c r="O10" i="2" s="1"/>
  <c r="M9" i="2"/>
  <c r="O9" i="2" s="1"/>
  <c r="M8" i="2"/>
  <c r="O8" i="2" s="1"/>
  <c r="M7" i="2"/>
  <c r="O7" i="2" s="1"/>
</calcChain>
</file>

<file path=xl/sharedStrings.xml><?xml version="1.0" encoding="utf-8"?>
<sst xmlns="http://schemas.openxmlformats.org/spreadsheetml/2006/main" count="884" uniqueCount="363">
  <si>
    <t>Periodo</t>
  </si>
  <si>
    <t>Documento de Identidad</t>
  </si>
  <si>
    <t>Apellido y Nombre</t>
  </si>
  <si>
    <t xml:space="preserve">Supervisor </t>
  </si>
  <si>
    <t>Puesto</t>
  </si>
  <si>
    <t>Modalidad</t>
  </si>
  <si>
    <t>Monto Por Productividad</t>
  </si>
  <si>
    <t xml:space="preserve">Monto Por Calidad </t>
  </si>
  <si>
    <t>Calidad /Entregas Supervisor</t>
  </si>
  <si>
    <t>Calidad /Entregas SIG</t>
  </si>
  <si>
    <t>Bono Fijo</t>
  </si>
  <si>
    <t>Aaron Daniel Camacho Quesada</t>
  </si>
  <si>
    <t>Andres Steven Masis Cortes</t>
  </si>
  <si>
    <t>Operario Catastral</t>
  </si>
  <si>
    <t>Home Office</t>
  </si>
  <si>
    <t>Melissa del Carmen Fernandez Fonseca</t>
  </si>
  <si>
    <t>Supervisor</t>
  </si>
  <si>
    <t>Alejandra Maria Alvarado Chacon</t>
  </si>
  <si>
    <t>Alondra de los Angeles Cubero Segura</t>
  </si>
  <si>
    <t>Jeison Steven Alvarado Fernandez</t>
  </si>
  <si>
    <t>Isaac Francisco Salazar Calvo</t>
  </si>
  <si>
    <t>Monserrath Maria Varela Miranda</t>
  </si>
  <si>
    <t>Angie de los Angeles Rojas Martinez</t>
  </si>
  <si>
    <t>Arelys Campos Loria</t>
  </si>
  <si>
    <t>Estefania de los Angeles Chavarria Cruz</t>
  </si>
  <si>
    <t>Brayan Antonio Retana Mena</t>
  </si>
  <si>
    <t>Brayan Steven Jimenez Garro</t>
  </si>
  <si>
    <t>Yency Alejandra Vargas Miranda</t>
  </si>
  <si>
    <t>Deilyn Rachel Vargas Lopez</t>
  </si>
  <si>
    <t>Hemerson Barrantes Salmeron</t>
  </si>
  <si>
    <t>QC</t>
  </si>
  <si>
    <t>Iliana Arrieta Acuna</t>
  </si>
  <si>
    <t>Técnico SIG</t>
  </si>
  <si>
    <t>Jennifer Marcela Castro Duarte</t>
  </si>
  <si>
    <t>Maria del Milagro Garro Quesada</t>
  </si>
  <si>
    <t>Jose Andres Ortega Urena</t>
  </si>
  <si>
    <t>Jose Aristides Garcia Cordero</t>
  </si>
  <si>
    <t>Josue Enoc lopez Ibarra</t>
  </si>
  <si>
    <t>Karol Milena Delgado Herrera</t>
  </si>
  <si>
    <t>Katherine Maria Hernandez Vargas</t>
  </si>
  <si>
    <t>Keilor Gerardo Alvarado Fernandez</t>
  </si>
  <si>
    <t>Keneth Fabian Calderon Navarro</t>
  </si>
  <si>
    <t>Keythy Vanessa Lindo Araya</t>
  </si>
  <si>
    <t>Luis Andres Quesada Cerdas</t>
  </si>
  <si>
    <t>Luis Fernando Venegas Luna</t>
  </si>
  <si>
    <t>Marian Alejandra Sanchez Elizondo</t>
  </si>
  <si>
    <t>Marita de Jesus Fonseca Lopez</t>
  </si>
  <si>
    <t>Martin Alonso Ramirez Leiva</t>
  </si>
  <si>
    <t>Maryangel Gonzalez Mesen</t>
  </si>
  <si>
    <t>Older Romario Torres Blanco</t>
  </si>
  <si>
    <t>Silvia Elena Jimenez Salvatierra</t>
  </si>
  <si>
    <t>Tatiana Ballestero Munoz</t>
  </si>
  <si>
    <t>Valery Cristal Villalobos Rojas</t>
  </si>
  <si>
    <t>Weslyn Francisco Herrera Mora</t>
  </si>
  <si>
    <t>Yerlin Gabriela Morales Picado</t>
  </si>
  <si>
    <t>Monto  QC</t>
  </si>
  <si>
    <t>Monto Validación</t>
  </si>
  <si>
    <t>Validación</t>
  </si>
  <si>
    <t>Leiver Jose Lopez Picado</t>
  </si>
  <si>
    <t>Lianeth Paola Villalobos Alvarez</t>
  </si>
  <si>
    <t>Maria Valeria Brenes Fuentes</t>
  </si>
  <si>
    <t>Coordinador Producción</t>
  </si>
  <si>
    <t>Monica Lizbeth Cortes Cortes</t>
  </si>
  <si>
    <t>Nicole Wong Quiros</t>
  </si>
  <si>
    <t>Steven Antonio Guillen Rivera</t>
  </si>
  <si>
    <t>Milka Dayanna Jimenez Arguello</t>
  </si>
  <si>
    <t>Javier Chinchilla Monge</t>
  </si>
  <si>
    <t>1-1764-0921</t>
  </si>
  <si>
    <t>1-1786-0332</t>
  </si>
  <si>
    <t>3-0503-0735</t>
  </si>
  <si>
    <t>1-1663-0410</t>
  </si>
  <si>
    <t>3-0510-0096</t>
  </si>
  <si>
    <t>2-0735-0130</t>
  </si>
  <si>
    <t>3-0485-0465</t>
  </si>
  <si>
    <t>6-0442-0741</t>
  </si>
  <si>
    <t>4-0248-0576</t>
  </si>
  <si>
    <t>4-0244-0346</t>
  </si>
  <si>
    <t>3-0522-0091</t>
  </si>
  <si>
    <t>1-1652-0238</t>
  </si>
  <si>
    <t>1-1676-0209</t>
  </si>
  <si>
    <t>1-1593-0985</t>
  </si>
  <si>
    <t>1-1761-0242</t>
  </si>
  <si>
    <t>3-0530-0805</t>
  </si>
  <si>
    <t>1-1756-0632</t>
  </si>
  <si>
    <t>4-0255-0497</t>
  </si>
  <si>
    <t>1-1712-0640</t>
  </si>
  <si>
    <t>1-1638-0472</t>
  </si>
  <si>
    <t>6-0446-0130</t>
  </si>
  <si>
    <t>3-0550-0233</t>
  </si>
  <si>
    <t>1-1695-0563</t>
  </si>
  <si>
    <t>1-1409-0444</t>
  </si>
  <si>
    <t>7-0239-0343</t>
  </si>
  <si>
    <t>1-1593-0614</t>
  </si>
  <si>
    <t>5-0420-0963</t>
  </si>
  <si>
    <t>1-1597-0743</t>
  </si>
  <si>
    <t>3-0502-0517</t>
  </si>
  <si>
    <t>7-0283-0035</t>
  </si>
  <si>
    <t>1-1638-0304</t>
  </si>
  <si>
    <t>1-1666-0963</t>
  </si>
  <si>
    <t>6-0417-0749</t>
  </si>
  <si>
    <t>1-1690-0691</t>
  </si>
  <si>
    <t>1-1638-0277</t>
  </si>
  <si>
    <t>5-0422-0438</t>
  </si>
  <si>
    <t>3-0539-0408</t>
  </si>
  <si>
    <t>5-0426-0876</t>
  </si>
  <si>
    <t>1-1616-0896</t>
  </si>
  <si>
    <t>3-0519-0806</t>
  </si>
  <si>
    <t>3-0523-0135</t>
  </si>
  <si>
    <t>1-1513-0359</t>
  </si>
  <si>
    <t>1-1679-0654</t>
  </si>
  <si>
    <t>1-1734-0574</t>
  </si>
  <si>
    <t>1-1730-0593</t>
  </si>
  <si>
    <t>2-0770-0462</t>
  </si>
  <si>
    <t>Total Bono</t>
  </si>
  <si>
    <t>Enero-2026</t>
  </si>
  <si>
    <t>Andrea Carolina Prado Avila</t>
  </si>
  <si>
    <t>Angireth Priscilla Jimenez Hernandez</t>
  </si>
  <si>
    <t>Linda Karolay Sambrana Cano</t>
  </si>
  <si>
    <t>Gabriel Martin Prieto</t>
  </si>
  <si>
    <t>1-1642-0612</t>
  </si>
  <si>
    <t>1-1543-0684</t>
  </si>
  <si>
    <t>1-1257-0809</t>
  </si>
  <si>
    <t>Gonzalez Arce Pamela</t>
  </si>
  <si>
    <t>1-1476-0494</t>
  </si>
  <si>
    <t>Salazar Chavarria Mario Alfredo</t>
  </si>
  <si>
    <t>1-1501-0773</t>
  </si>
  <si>
    <t>Pereira Juan Carlos</t>
  </si>
  <si>
    <t>Jurídico / Descarga</t>
  </si>
  <si>
    <t>1-1555-0561</t>
  </si>
  <si>
    <t>Cruz Godinez Sophia Teresita</t>
  </si>
  <si>
    <t>1-1577-0159</t>
  </si>
  <si>
    <t>Andrade Velasquez Melvin</t>
  </si>
  <si>
    <t>1-1578-0536</t>
  </si>
  <si>
    <t>Rojas Arias Jose Javier</t>
  </si>
  <si>
    <t>1-1605-0322</t>
  </si>
  <si>
    <t>Villagra Rodriguez Ivan</t>
  </si>
  <si>
    <t>1-1610-0301</t>
  </si>
  <si>
    <t>Ceciliano Calderon Linnette</t>
  </si>
  <si>
    <t>Coordinación de Producción</t>
  </si>
  <si>
    <t>1-1613-0929</t>
  </si>
  <si>
    <t>Rojas Martinez Gabriel Esteban</t>
  </si>
  <si>
    <t>1-1621-0416</t>
  </si>
  <si>
    <t>Quiros Elizondo Keilor Antonio</t>
  </si>
  <si>
    <t>1-1632-0147</t>
  </si>
  <si>
    <t>Rodriguez Gutierrez David</t>
  </si>
  <si>
    <t>1-1642-0927</t>
  </si>
  <si>
    <t>Alvarado Corea Rocio</t>
  </si>
  <si>
    <t>1-1646-0890</t>
  </si>
  <si>
    <t>Cascante Jose Rubi</t>
  </si>
  <si>
    <t>1-1648-0874</t>
  </si>
  <si>
    <t>Garmendez Miiranda Laura</t>
  </si>
  <si>
    <t>1-1672-0209</t>
  </si>
  <si>
    <t>Villegas Delgado Josue David</t>
  </si>
  <si>
    <t>1-1678-0195</t>
  </si>
  <si>
    <t>Corrales Torres Maria Elena</t>
  </si>
  <si>
    <t>1-1686-0841</t>
  </si>
  <si>
    <t>Gutierrez Umana Sergio</t>
  </si>
  <si>
    <t>1-1692-0718</t>
  </si>
  <si>
    <t>Aguilar Quiros Estefania</t>
  </si>
  <si>
    <t>1-1693-0426</t>
  </si>
  <si>
    <t>Padilla Solano Andrés</t>
  </si>
  <si>
    <t xml:space="preserve">Jurídico/Descarga </t>
  </si>
  <si>
    <t>1-1695-0727</t>
  </si>
  <si>
    <t>Quiros Solano Daniela</t>
  </si>
  <si>
    <t>1-1704-0859</t>
  </si>
  <si>
    <t>Gonzalez Masis Maria Alejandra</t>
  </si>
  <si>
    <t>1-1718-0860</t>
  </si>
  <si>
    <t>Chavarria Barquero Maria Stefannie</t>
  </si>
  <si>
    <t>1-1734-0214</t>
  </si>
  <si>
    <t>Vargas Naranjo Zairy</t>
  </si>
  <si>
    <t>1-1742-0925</t>
  </si>
  <si>
    <t>Bermudez Mendez Ericka Fabiola</t>
  </si>
  <si>
    <t>1-1744-0049</t>
  </si>
  <si>
    <t>Rivera Porras Jose Joaquin</t>
  </si>
  <si>
    <t>1-1750-0227</t>
  </si>
  <si>
    <t>Tenorio Quirós Katherine</t>
  </si>
  <si>
    <t>Jurídico / Completitud</t>
  </si>
  <si>
    <t>1-1753-0786</t>
  </si>
  <si>
    <t>Vargas Briceno Aaron</t>
  </si>
  <si>
    <t>1-1753-0920</t>
  </si>
  <si>
    <t>Sanchez Moreira Steve Alberto</t>
  </si>
  <si>
    <t>1-1754-0995</t>
  </si>
  <si>
    <t>Bonilla Bonilla Kevin Jesus</t>
  </si>
  <si>
    <t>1-1769-0803</t>
  </si>
  <si>
    <t>Gomez Mantilla Luis</t>
  </si>
  <si>
    <t>1-1771-0700</t>
  </si>
  <si>
    <t>Palma Perez Gabriela Patricia</t>
  </si>
  <si>
    <t>1-1780-0152</t>
  </si>
  <si>
    <t>Morales Maradiaga Karla</t>
  </si>
  <si>
    <t>1-1782-0088</t>
  </si>
  <si>
    <t>Calvo Gutierrez Kasandra</t>
  </si>
  <si>
    <t>1-1785-0719</t>
  </si>
  <si>
    <t>Camacho Segura Melany</t>
  </si>
  <si>
    <t>1-1787-0547</t>
  </si>
  <si>
    <t>Solis Hernandez Daniel Alfredo</t>
  </si>
  <si>
    <t>1-1789-0852</t>
  </si>
  <si>
    <t>Manrique Umana Vargas Miguel</t>
  </si>
  <si>
    <t>1-1793-0936</t>
  </si>
  <si>
    <t>Anchia Roman Kevin</t>
  </si>
  <si>
    <t>1-1810-0758</t>
  </si>
  <si>
    <t>Centeno Mora Valeria</t>
  </si>
  <si>
    <t>1-1822-0572</t>
  </si>
  <si>
    <t>Zamora Sanchez Wilson</t>
  </si>
  <si>
    <t>1-1828-0070</t>
  </si>
  <si>
    <t>Torres Guzman Rebeca</t>
  </si>
  <si>
    <t>1-1833-0259</t>
  </si>
  <si>
    <t>Ramirez Vargas Paulette</t>
  </si>
  <si>
    <t>1-1842-0870</t>
  </si>
  <si>
    <t>Raudes Ledezma Esteban</t>
  </si>
  <si>
    <t>1-1847-0175</t>
  </si>
  <si>
    <t>Alvarez Chavarria Ximena</t>
  </si>
  <si>
    <t>1-1850-0161</t>
  </si>
  <si>
    <t>Vargas Alvarez Maria Nathalia</t>
  </si>
  <si>
    <t>1-1851-0199</t>
  </si>
  <si>
    <t>Arroyo Elizondo Mariano</t>
  </si>
  <si>
    <t>1-1852-0193</t>
  </si>
  <si>
    <t>Fallas Cordero Maikol Andres</t>
  </si>
  <si>
    <t>1-1852-0833</t>
  </si>
  <si>
    <t>Fallas Calderon Ileana</t>
  </si>
  <si>
    <t>1-1867-0364</t>
  </si>
  <si>
    <t>Artavia Venegas Melba</t>
  </si>
  <si>
    <t>1-1882-0341</t>
  </si>
  <si>
    <t>Bolanos Chaves Jimena</t>
  </si>
  <si>
    <t>1-1902-0019</t>
  </si>
  <si>
    <t>Espinoza Sobalvarro Jefferson Andres</t>
  </si>
  <si>
    <t>1-1924-0232</t>
  </si>
  <si>
    <t>Garcia Cardenas David</t>
  </si>
  <si>
    <t>1-1941-0374</t>
  </si>
  <si>
    <t>Ortiz Brenes Alexa</t>
  </si>
  <si>
    <t>1-1941-0923</t>
  </si>
  <si>
    <t>Guadamuz Monserrath</t>
  </si>
  <si>
    <t>1-1955-0634</t>
  </si>
  <si>
    <t>Martinez Vargas Andres</t>
  </si>
  <si>
    <t>1-1957-0870</t>
  </si>
  <si>
    <t>Silva Garcia Jefferson</t>
  </si>
  <si>
    <t>2-0660-0049</t>
  </si>
  <si>
    <t>Lopez Lobo Diego Armando</t>
  </si>
  <si>
    <t>2-0740-0914</t>
  </si>
  <si>
    <t>Vargas Chavarria Ronald</t>
  </si>
  <si>
    <t>2-0760-0738</t>
  </si>
  <si>
    <t>Gonzalez Arroyo Sergio</t>
  </si>
  <si>
    <t>2-0762-0402</t>
  </si>
  <si>
    <t>Chinchilla Porras Javier Francisco</t>
  </si>
  <si>
    <t>2-0767-0558</t>
  </si>
  <si>
    <t>Orozco Fernandez Veronica Maria</t>
  </si>
  <si>
    <t>2-0770-0234</t>
  </si>
  <si>
    <t>Ledezma Cordero Juan Daniel</t>
  </si>
  <si>
    <t>2-0784-0049</t>
  </si>
  <si>
    <t>Espinoza Urbina Martha</t>
  </si>
  <si>
    <t>2-0806-0164</t>
  </si>
  <si>
    <t>Solano Gonzalez Bernabe</t>
  </si>
  <si>
    <t>2-0814-0559</t>
  </si>
  <si>
    <t>Rivera Villalobos Karla</t>
  </si>
  <si>
    <t>2-0818-0812</t>
  </si>
  <si>
    <t>Arroyo Arroyo Rafael</t>
  </si>
  <si>
    <t>Jurídico / Geografo</t>
  </si>
  <si>
    <t>2-0825-0714</t>
  </si>
  <si>
    <t>Rojas Ramirez Eimy Nayeli</t>
  </si>
  <si>
    <t>3-0435-0172</t>
  </si>
  <si>
    <t>Gamboa Gamboa Yuliana</t>
  </si>
  <si>
    <t>3-0490-0741</t>
  </si>
  <si>
    <t>Jimenez Serrano Cristopher</t>
  </si>
  <si>
    <t>3-0497-0436</t>
  </si>
  <si>
    <t>Luna Salas Daniela Maria</t>
  </si>
  <si>
    <t>3-0498-0857</t>
  </si>
  <si>
    <t>Navarro Mendez Stephanie Alejandra</t>
  </si>
  <si>
    <t>3-0512-0520</t>
  </si>
  <si>
    <t>Villalta Cespedes Andres</t>
  </si>
  <si>
    <t>3-0513-0425</t>
  </si>
  <si>
    <t>Calvo Brenes Joselyn</t>
  </si>
  <si>
    <t>Operario Catastral / Supervisora  Jurídico</t>
  </si>
  <si>
    <t>3-0515-0769</t>
  </si>
  <si>
    <t>Ruiz Diaz Karen Patricia</t>
  </si>
  <si>
    <t>3-0516-0519</t>
  </si>
  <si>
    <t>Aguilar Leiva Jonathan Jesus</t>
  </si>
  <si>
    <t>3-0537-0369</t>
  </si>
  <si>
    <t>Pineda Ortega Estefania</t>
  </si>
  <si>
    <t>3-0557-0217</t>
  </si>
  <si>
    <t>Urena Blanco Josafat</t>
  </si>
  <si>
    <t>4-0207-0850</t>
  </si>
  <si>
    <t>Iannarella Arguedas Natalia</t>
  </si>
  <si>
    <t>4-0226-0423</t>
  </si>
  <si>
    <t>Sanchez Alvarez Mariel</t>
  </si>
  <si>
    <t>4-0236-0394</t>
  </si>
  <si>
    <t>Farrier Briceno Maria Jose</t>
  </si>
  <si>
    <t>4-0250-0084</t>
  </si>
  <si>
    <t>Araica Urbina Alexander</t>
  </si>
  <si>
    <t>4-0250-0952</t>
  </si>
  <si>
    <t>Bulacar Mora Aislinn</t>
  </si>
  <si>
    <t>4-0252-0918</t>
  </si>
  <si>
    <t>Benavides Villalobos Maykol</t>
  </si>
  <si>
    <t>4-0254-0244</t>
  </si>
  <si>
    <t>Ballestero Nunez Yendri</t>
  </si>
  <si>
    <t>5-0404-0698</t>
  </si>
  <si>
    <t>Delgado Araya Sharon Fabiola</t>
  </si>
  <si>
    <t>5-0419-0272</t>
  </si>
  <si>
    <t>Chavez Hernandez Ana Marcela</t>
  </si>
  <si>
    <t>5-0430-0426</t>
  </si>
  <si>
    <t>Treminio Jimenez Fernanda</t>
  </si>
  <si>
    <t>6-0436-0454</t>
  </si>
  <si>
    <t>Vindas Jiménez Meylin</t>
  </si>
  <si>
    <t>6-0441-0392</t>
  </si>
  <si>
    <t>Tenorio Guido Jackeline Maria</t>
  </si>
  <si>
    <t>6-0474-0569</t>
  </si>
  <si>
    <t>Castro Avarado Fiorella</t>
  </si>
  <si>
    <t>7-0244-0940</t>
  </si>
  <si>
    <t>Rodriguez Villegas Yocelyn</t>
  </si>
  <si>
    <t>7-0246-0106</t>
  </si>
  <si>
    <t>Romero Carazo Brayan Jose</t>
  </si>
  <si>
    <t>7-0273-0072</t>
  </si>
  <si>
    <t>Rojas Pastrana Brayan</t>
  </si>
  <si>
    <t>Ing. Industrial</t>
  </si>
  <si>
    <t>7-0288-0408</t>
  </si>
  <si>
    <t>Hernandez Smith Ansil Andres</t>
  </si>
  <si>
    <t>7-0292-0026</t>
  </si>
  <si>
    <t>Romero Umana Joustin</t>
  </si>
  <si>
    <t>8-0145-0607</t>
  </si>
  <si>
    <t>Castillo Acosta Luis Alfredo</t>
  </si>
  <si>
    <t>8-0145-0808</t>
  </si>
  <si>
    <t>Zelaya Sandoval Alondra Sarahi</t>
  </si>
  <si>
    <t>9-0108-0375</t>
  </si>
  <si>
    <t>Urquijo Borja Daniela</t>
  </si>
  <si>
    <t>9-0116-0446</t>
  </si>
  <si>
    <t>Herrera Blanco Roger Alonso</t>
  </si>
  <si>
    <t>1-1801-0747</t>
  </si>
  <si>
    <t>Álvaro José Alvarado Solórzano</t>
  </si>
  <si>
    <t>Operario Castrastal</t>
  </si>
  <si>
    <t>1-1725-0388</t>
  </si>
  <si>
    <t>Andrés de Jesús Corrales Castro</t>
  </si>
  <si>
    <t>4-0238-0646</t>
  </si>
  <si>
    <t>Andrey Mauricio Lobo Leiton</t>
  </si>
  <si>
    <t>1-1859-0602</t>
  </si>
  <si>
    <t>Christopher Cadena Calvo</t>
  </si>
  <si>
    <t>4-0245-0852</t>
  </si>
  <si>
    <t>Daniel Francisco Cascante Chaves</t>
  </si>
  <si>
    <t>7-0289-0191</t>
  </si>
  <si>
    <t>Jennifer Soto Soto</t>
  </si>
  <si>
    <t>1-1739-0538</t>
  </si>
  <si>
    <t>Julián Andrés Ruiz Hidalgo</t>
  </si>
  <si>
    <t>6-0468-0693</t>
  </si>
  <si>
    <t>Keisy Aishira Lázaro Rojas</t>
  </si>
  <si>
    <t>1-1688-0489</t>
  </si>
  <si>
    <t>Kenneth Paez Carrillo</t>
  </si>
  <si>
    <t>1-1695-0402</t>
  </si>
  <si>
    <t>Kevin Alexander Jiménez Molina</t>
  </si>
  <si>
    <t>3-0517-0661</t>
  </si>
  <si>
    <t>María Paula Alvarado Rodríguez</t>
  </si>
  <si>
    <t>1-2002-0039</t>
  </si>
  <si>
    <t xml:space="preserve">Matthieu Venegas Rodríguez </t>
  </si>
  <si>
    <t>3-0536-0863</t>
  </si>
  <si>
    <t>Raúl Avendaño Fernández</t>
  </si>
  <si>
    <t>4-0265-0236</t>
  </si>
  <si>
    <t>Sofía Campos Peraza</t>
  </si>
  <si>
    <t>1-1824-0411</t>
  </si>
  <si>
    <t>Sofía Rodríguez Brenes</t>
  </si>
  <si>
    <t>4-0249-0647</t>
  </si>
  <si>
    <t>Brandon Murillo Zamora</t>
  </si>
  <si>
    <t>3-0505-0722</t>
  </si>
  <si>
    <t>Jessica Aguilar Navarro</t>
  </si>
  <si>
    <t>1-1513-0277</t>
  </si>
  <si>
    <t>Alejandro Arias Navarro</t>
  </si>
  <si>
    <t xml:space="preserve"> Supervisor</t>
  </si>
  <si>
    <t>Supervisor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</si>
</sst>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₡&quot;* #,##0.00_-;\-&quot;₡&quot;* #,##0.00_-;_-&quot;₡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/>
  </cellStyleXfs>
  <cellXfs count="16">
    <xf numFmtId="0" fontId="0" fillId="0" borderId="0" xfId="0"/>
    <xf numFmtId="2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0" fillId="0" borderId="1" xfId="1" applyFont="1" applyBorder="1"/>
    <xf numFmtId="0" fontId="3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64" fontId="0" fillId="0" borderId="0" xfId="1" applyFont="1"/>
    <xf numFmtId="0" fontId="0" fillId="3" borderId="0" xfId="0" applyFill="1"/>
    <xf numFmtId="164" fontId="0" fillId="0" borderId="1" xfId="0" applyNumberFormat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49" fontId="0" fillId="0" borderId="0" xfId="0" applyNumberFormat="1"/>
    <xf numFmtId="49" fontId="2" fillId="2" borderId="2" xfId="1" applyNumberFormat="1" applyFont="1" applyFill="1" applyBorder="1" applyAlignment="1">
      <alignment horizontal="center" vertical="center" wrapText="1"/>
    </xf>
    <xf numFmtId="49" fontId="0" fillId="0" borderId="1" xfId="0" applyNumberFormat="1" applyBorder="1"/>
  </cellXfs>
  <cellStyles count="4">
    <cellStyle name="Moneda" xfId="1" builtinId="4"/>
    <cellStyle name="Normal" xfId="0" builtinId="0"/>
    <cellStyle name="Normal 2" xfId="3" xr:uid="{87A938AC-8BA5-4C15-8B18-6BF47C74C991}"/>
    <cellStyle name="Normal 46 2" xfId="2" xr:uid="{4C652B92-314A-49B6-8E28-31CBE94CFC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33EA11-DAD5-4F8A-9A3B-BA7C3CCCCA2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A377AC6-375F-4947-A9B7-0D4EA53BF21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A336BA4B-A56A-4C5D-A825-BC88ACD32BC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6C808054-32CE-4D56-9D36-CA8F87E542E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A99398DF-D6F6-4CCD-ABBD-7A93512774C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9E407C8-5C67-4785-B420-44314D8989D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CEF264BA-61B8-4633-BEA6-2BE5938A6BC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90EC9E51-61DB-4CB6-AC94-D9EE1C5C2D6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C9E249A4-B238-4F2C-9D5F-E6F43893DAA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8574F295-52A7-4905-AF73-8275B9300B1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0EF281C-1027-47D2-B1C4-61012B3FA5E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194A73A0-E010-4CBB-BD3A-0B71E8215BF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F2B63E3-FFEC-4083-8E1B-E15FB48461A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D13BCF30-5CA3-4912-A9E5-E6083899B05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F33609BC-A7D8-43E6-B5D1-F902A926D9E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98A7FC-6E15-41DE-BDB4-92F2F289B10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EFB2B745-B202-4676-8664-2B243CDC915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3EB4E3B9-24C9-45EE-A0A7-FC85369447C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5EFA7BCB-E636-451E-A9E5-A12E8CA5281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D8BA050E-8B5F-45B1-B0CE-ACCD7FE8EBE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CC61D45-4ECB-4AB9-9306-2E824B2505F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BBCBCFE5-22C4-4407-A31D-B93DFA98FEF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6489E345-57EE-42F2-973F-0E2AAEC758E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F6B4656E-41E9-4350-A6C6-745FEE3EED5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BE77D168-32FE-4AF7-8C7E-6D8A4AFB402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0485B7FE-8314-4564-9DE3-45187998B71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4874064-1023-41B9-ABFA-53740EBA4AA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A38A6780-982C-482D-B90C-968F034CFA8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9643DFD0-2312-4F42-9218-7F06F041231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F7C45AF6-6224-458B-8E30-7C16636AD93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4E6728B7-287B-4A4C-AFDE-94CB1E27DC2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B8479483-A045-4348-A232-88D581F9355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3D6361C1-475A-4F65-AB9E-8753D0D7799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B20E7471-AA0B-4966-AAF8-EE24167C640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AE0578E9-232F-43C5-A2E5-41ECAFD7782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8C940F41-BB14-4D4B-9090-03D6893B44E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462489F9-0329-49DD-87ED-43005C06E09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ABF760D4-18E6-446D-A703-018300E92C3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51627654-E2B5-42FC-AC8C-9E710BB60DE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C1217F24-ADB7-4AB9-84C2-D843B801CD2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F3FAA304-6F69-4C72-96EC-07097D577C4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37A0CB1E-2E98-4E3A-8A55-F01F5C5A60B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F58E08C8-D2E2-42A2-AADD-CAD043A371B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0F94101E-F7B4-443B-A1ED-EFB872DB6C9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36A16DF3-3B74-4EA6-AB77-449FB4A870A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4C024DCB-E49E-494C-9C75-58B3BF5E58B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ACDF6279-09BD-4D1C-943E-2F123051A88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67077119-3744-4D12-9173-AAD2A1BF3B3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253A17BC-7D3A-46A1-8348-0764A3C0CEA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B7C495A6-4128-448A-9036-78754865179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03FBC61B-A10E-464C-AEB0-30E4E116780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36CA6A57-90EC-4AB4-A0C2-048A54EB23E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B1EEFDDB-1C68-46D7-BCF8-F42D62DC80D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7E4630D7-975B-4BEA-B0FF-317A73181DA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D520A385-0071-4DC6-A9DB-AD51D3A95E9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131C6036-24B9-4086-94F4-43C43A6ADBC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BA8D0E6F-D8A1-4F55-BEE2-6DC187A1355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84EB3D93-FBDF-4C38-8A7D-34F15D987E6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AF86486B-3028-443A-ADE3-D65EF78BF3A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00D33540-FA63-4481-8B90-527F785DC91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B2CCA05A-CBFB-49A9-810A-BA70F970178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8A636DD4-A1FB-4763-ACC9-54E2801E1EC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4" name="AutoShape 2">
          <a:extLst>
            <a:ext uri="{FF2B5EF4-FFF2-40B4-BE49-F238E27FC236}">
              <a16:creationId xmlns:a16="http://schemas.microsoft.com/office/drawing/2014/main" id="{201697DA-162A-43E0-8DD5-694C4C1D404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61B216D2-0219-4AED-A68E-BAECF954729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6" name="AutoShape 2">
          <a:extLst>
            <a:ext uri="{FF2B5EF4-FFF2-40B4-BE49-F238E27FC236}">
              <a16:creationId xmlns:a16="http://schemas.microsoft.com/office/drawing/2014/main" id="{3CAC3496-4EB6-4275-B0A5-1B44AF0A4B3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9D948F50-8488-4179-B467-23246835060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CB18DDF8-A5A3-4A2F-862C-777D8121D46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0C90BB5E-F532-4994-94E7-678EAF8C871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0" name="AutoShape 2">
          <a:extLst>
            <a:ext uri="{FF2B5EF4-FFF2-40B4-BE49-F238E27FC236}">
              <a16:creationId xmlns:a16="http://schemas.microsoft.com/office/drawing/2014/main" id="{07CD3BC9-3CD5-49FE-B5F6-40DE848A643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27568A6E-4B2F-48BB-9299-52A66A77D70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2" name="AutoShape 2">
          <a:extLst>
            <a:ext uri="{FF2B5EF4-FFF2-40B4-BE49-F238E27FC236}">
              <a16:creationId xmlns:a16="http://schemas.microsoft.com/office/drawing/2014/main" id="{085FA341-3C41-49AD-8C85-463618ED2A2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E8918620-D911-490C-99A4-0AF33BCFDBE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6825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4" name="AutoShape 2">
          <a:extLst>
            <a:ext uri="{FF2B5EF4-FFF2-40B4-BE49-F238E27FC236}">
              <a16:creationId xmlns:a16="http://schemas.microsoft.com/office/drawing/2014/main" id="{0DBA0B7F-A532-48C3-A2BA-2970552D5B3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0AB53B42-BA3D-4C00-B4F0-42F7D5A6553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799E425A-E634-4577-9746-C4316B412A3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76056FE8-8595-46C8-9836-DABCE1B490A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8" name="AutoShape 2">
          <a:extLst>
            <a:ext uri="{FF2B5EF4-FFF2-40B4-BE49-F238E27FC236}">
              <a16:creationId xmlns:a16="http://schemas.microsoft.com/office/drawing/2014/main" id="{2BA669D9-3006-4A38-B400-21A3708EB7A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9D418DA4-145C-4453-AFAD-9B0EB53BEEB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1002A0AF-496C-4512-A7DC-83DF716EEC4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2574DF1C-027E-46E9-9D6C-BD1324314A4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366FDFED-1BEB-43EC-949D-01A3E5E81E4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C5D56026-D53A-46C5-8A71-11A3AC3F35B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1762125"/>
    <xdr:sp macro="" textlink="">
      <xdr:nvSpPr>
        <xdr:cNvPr id="84" name="AutoShape 2">
          <a:extLst>
            <a:ext uri="{FF2B5EF4-FFF2-40B4-BE49-F238E27FC236}">
              <a16:creationId xmlns:a16="http://schemas.microsoft.com/office/drawing/2014/main" id="{E04A7B8F-0969-48FF-8855-854732440E2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132523</xdr:rowOff>
    </xdr:from>
    <xdr:ext cx="304800" cy="176212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DF71BD7D-7FFF-42FD-8A1C-49061A600849}"/>
            </a:ext>
          </a:extLst>
        </xdr:cNvPr>
        <xdr:cNvSpPr>
          <a:spLocks noChangeAspect="1" noChangeArrowheads="1"/>
        </xdr:cNvSpPr>
      </xdr:nvSpPr>
      <xdr:spPr bwMode="auto">
        <a:xfrm>
          <a:off x="4439478" y="1384853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F85F9612-3D41-4CFF-BC89-C923AA6DFFB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01F61910-D033-4262-B375-0DF9574042C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5A846FC3-1185-4926-9A28-50AF13FC0B1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A0681EA8-F862-44F2-A5E5-EF984125F44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F10C1AA9-1C86-4325-B4C9-81D5945734F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FD69AF92-0BEC-4C51-B845-D15D6B4D7B4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479F1DFD-E65D-4CF5-ADD9-2C0BFCD75B7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1A716CEA-CEB0-4586-89E1-1CEA88BC510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9F7B122F-1603-4A93-A589-C2675932220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E6F576D0-0A28-4529-8766-552E7B0CC1D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</xdr:row>
      <xdr:rowOff>0</xdr:rowOff>
    </xdr:from>
    <xdr:ext cx="304800" cy="1762125"/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13E4BE1F-D2AD-4DB9-B1FF-68644E5E3F5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66850"/>
          <a:ext cx="3048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02\Telespazio-Proyecto%20CR-Especialistas\10%20-%20Colombia\2026\Bonos\Gabinete\Calculo%20de%20Bonos%20Colombia%20Febrer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"/>
      <sheetName val="Producción"/>
      <sheetName val="Cálculo Bono Producción"/>
      <sheetName val="Cálculo Calidad"/>
      <sheetName val="Cálculo Supervisión"/>
      <sheetName val="Cálculo Equipo Entregas"/>
      <sheetName val="Cálculo SIG"/>
      <sheetName val="Bono Enero -2025"/>
      <sheetName val="Parametro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ENERO-2026</v>
          </cell>
          <cell r="C1"/>
        </row>
        <row r="2">
          <cell r="B2" t="str">
            <v>Apellido y Nombre</v>
          </cell>
          <cell r="C2" t="str">
            <v xml:space="preserve">Supervisor </v>
          </cell>
          <cell r="D2" t="str">
            <v>Puesto</v>
          </cell>
          <cell r="E2" t="str">
            <v>Lote</v>
          </cell>
          <cell r="F2" t="str">
            <v xml:space="preserve">Cantidad de Operarios con Bono </v>
          </cell>
          <cell r="G2" t="str">
            <v>Bono por Supervisión</v>
          </cell>
          <cell r="H2" t="str">
            <v>Factor de Bono Grupal</v>
          </cell>
          <cell r="I2" t="str">
            <v>Factor de Calidad IGAC XTF</v>
          </cell>
          <cell r="J2" t="str">
            <v>XTF (Entregas) Aprobado</v>
          </cell>
          <cell r="K2" t="str">
            <v xml:space="preserve">Monto Bono Variable </v>
          </cell>
          <cell r="L2" t="str">
            <v xml:space="preserve">Monto total </v>
          </cell>
        </row>
        <row r="3">
          <cell r="B3" t="str">
            <v>Isaac Francisco Salazar Calvo</v>
          </cell>
          <cell r="C3" t="str">
            <v>Melissa del Carmen Fernandez Fonseca</v>
          </cell>
          <cell r="D3" t="str">
            <v>Técnico SIG</v>
          </cell>
          <cell r="E3">
            <v>1</v>
          </cell>
          <cell r="F3">
            <v>1</v>
          </cell>
          <cell r="G3">
            <v>15000</v>
          </cell>
          <cell r="H3">
            <v>1</v>
          </cell>
          <cell r="I3">
            <v>0.5</v>
          </cell>
          <cell r="J3">
            <v>0.8571428571428571</v>
          </cell>
          <cell r="K3">
            <v>68500</v>
          </cell>
          <cell r="L3">
            <v>83500</v>
          </cell>
        </row>
        <row r="4">
          <cell r="B4" t="str">
            <v>Jeison Steven Alvarado Fernandez</v>
          </cell>
          <cell r="C4" t="str">
            <v>Melissa del Carmen Fernandez Fonseca</v>
          </cell>
          <cell r="D4" t="str">
            <v>Técnico SIG</v>
          </cell>
          <cell r="E4">
            <v>3</v>
          </cell>
          <cell r="F4">
            <v>1</v>
          </cell>
          <cell r="G4">
            <v>15000</v>
          </cell>
          <cell r="H4">
            <v>1</v>
          </cell>
          <cell r="I4">
            <v>0.5</v>
          </cell>
          <cell r="J4">
            <v>0.8571428571428571</v>
          </cell>
          <cell r="K4">
            <v>68500</v>
          </cell>
          <cell r="L4">
            <v>83500</v>
          </cell>
        </row>
        <row r="5">
          <cell r="B5" t="str">
            <v>Maria del Milagro Garro Quesada</v>
          </cell>
          <cell r="C5" t="str">
            <v>Isaac Francisco Salazar Calvo</v>
          </cell>
          <cell r="D5" t="str">
            <v>Supervisor</v>
          </cell>
          <cell r="E5" t="e">
            <v>#N/A</v>
          </cell>
          <cell r="F5">
            <v>0</v>
          </cell>
          <cell r="G5">
            <v>0</v>
          </cell>
          <cell r="H5"/>
          <cell r="I5">
            <v>0.5</v>
          </cell>
          <cell r="J5">
            <v>0.8571428571428571</v>
          </cell>
          <cell r="K5">
            <v>39624.999999999993</v>
          </cell>
          <cell r="L5">
            <v>39624.999999999993</v>
          </cell>
        </row>
        <row r="6">
          <cell r="B6" t="str">
            <v>Melissa del Carmen Fernandez Fonseca</v>
          </cell>
          <cell r="C6" t="str">
            <v>Gabriel Martin Prieto</v>
          </cell>
          <cell r="D6" t="str">
            <v>Técnico SIG</v>
          </cell>
          <cell r="E6">
            <v>0</v>
          </cell>
          <cell r="F6">
            <v>3</v>
          </cell>
          <cell r="G6">
            <v>45000</v>
          </cell>
          <cell r="H6">
            <v>1</v>
          </cell>
          <cell r="I6">
            <v>0.5</v>
          </cell>
          <cell r="J6">
            <v>0.8571428571428571</v>
          </cell>
          <cell r="K6">
            <v>68500</v>
          </cell>
          <cell r="L6">
            <v>113500</v>
          </cell>
        </row>
        <row r="7">
          <cell r="B7" t="str">
            <v>Yency Alejandra Vargas Miranda</v>
          </cell>
          <cell r="C7" t="str">
            <v>Melissa del Carmen Fernandez Fonseca</v>
          </cell>
          <cell r="D7" t="str">
            <v>Técnico SIG</v>
          </cell>
          <cell r="E7">
            <v>2</v>
          </cell>
          <cell r="F7">
            <v>1</v>
          </cell>
          <cell r="G7">
            <v>15000</v>
          </cell>
          <cell r="H7">
            <v>1</v>
          </cell>
          <cell r="I7">
            <v>0.5</v>
          </cell>
          <cell r="J7">
            <v>0.8571428571428571</v>
          </cell>
          <cell r="K7">
            <v>68500</v>
          </cell>
          <cell r="L7">
            <v>83500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F2B5-8AC9-4EA9-BBAB-2FA0D3C64889}">
  <dimension ref="A1:AI165"/>
  <sheetViews>
    <sheetView showGridLines="0" tabSelected="1" zoomScale="55" zoomScaleNormal="55" workbookViewId="0">
      <selection activeCell="J26" sqref="J26"/>
    </sheetView>
  </sheetViews>
  <sheetFormatPr baseColWidth="10" defaultColWidth="9.140625" defaultRowHeight="15" x14ac:dyDescent="0.25"/>
  <cols>
    <col min="1" max="1" width="32.7109375" customWidth="1"/>
    <col min="2" max="2" width="36.42578125" bestFit="1" customWidth="1"/>
    <col min="3" max="3" width="39.85546875" customWidth="1"/>
    <col min="4" max="4" width="23.5703125" customWidth="1"/>
    <col min="5" max="5" width="24.5703125" customWidth="1"/>
    <col min="6" max="6" width="19" style="8" customWidth="1"/>
    <col min="7" max="9" width="17.5703125" style="8" customWidth="1"/>
    <col min="10" max="10" width="18.28515625" style="8" customWidth="1"/>
    <col min="11" max="11" width="24.7109375" style="8" bestFit="1" customWidth="1"/>
    <col min="12" max="12" width="18.5703125" style="8" customWidth="1"/>
    <col min="13" max="13" width="19" style="8" customWidth="1"/>
    <col min="14" max="14" width="18.5703125" style="8" customWidth="1"/>
    <col min="15" max="15" width="19.7109375" style="8" customWidth="1"/>
    <col min="16" max="16" width="18.7109375" style="13" customWidth="1"/>
    <col min="17" max="17" width="56.140625" customWidth="1"/>
    <col min="18" max="18" width="9.140625" customWidth="1"/>
  </cols>
  <sheetData>
    <row r="1" spans="1:35" ht="31.5" x14ac:dyDescent="0.25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55</v>
      </c>
      <c r="I1" s="3" t="s">
        <v>56</v>
      </c>
      <c r="J1" s="3" t="s">
        <v>361</v>
      </c>
      <c r="K1" s="3" t="s">
        <v>8</v>
      </c>
      <c r="L1" s="3" t="s">
        <v>362</v>
      </c>
      <c r="M1" s="3" t="s">
        <v>9</v>
      </c>
      <c r="N1" s="3" t="s">
        <v>10</v>
      </c>
      <c r="O1" s="3" t="s">
        <v>113</v>
      </c>
      <c r="P1" s="14" t="s">
        <v>0</v>
      </c>
    </row>
    <row r="2" spans="1:35" ht="15.75" x14ac:dyDescent="0.25">
      <c r="A2" s="4" t="s">
        <v>67</v>
      </c>
      <c r="B2" s="11" t="s">
        <v>11</v>
      </c>
      <c r="C2" s="4" t="s">
        <v>21</v>
      </c>
      <c r="D2" s="4" t="s">
        <v>13</v>
      </c>
      <c r="E2" s="4" t="s">
        <v>14</v>
      </c>
      <c r="F2" s="5">
        <v>0</v>
      </c>
      <c r="G2" s="5">
        <v>31250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10">
        <v>31250</v>
      </c>
      <c r="P2" s="15" t="s">
        <v>114</v>
      </c>
    </row>
    <row r="3" spans="1:35" s="9" customFormat="1" ht="15.75" x14ac:dyDescent="0.25">
      <c r="A3" s="4" t="s">
        <v>68</v>
      </c>
      <c r="B3" s="4" t="s">
        <v>17</v>
      </c>
      <c r="C3" s="4" t="s">
        <v>66</v>
      </c>
      <c r="D3" s="4" t="s">
        <v>57</v>
      </c>
      <c r="E3" s="4" t="s">
        <v>14</v>
      </c>
      <c r="F3" s="5">
        <v>0</v>
      </c>
      <c r="G3" s="5">
        <v>0</v>
      </c>
      <c r="H3" s="5">
        <v>0</v>
      </c>
      <c r="I3" s="5">
        <v>125000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10">
        <v>125000</v>
      </c>
      <c r="P3" s="15" t="s">
        <v>114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ht="15.75" x14ac:dyDescent="0.25">
      <c r="A4" s="4" t="s">
        <v>69</v>
      </c>
      <c r="B4" s="4" t="s">
        <v>18</v>
      </c>
      <c r="C4" s="4" t="s">
        <v>15</v>
      </c>
      <c r="D4" s="4" t="s">
        <v>16</v>
      </c>
      <c r="E4" s="4" t="s">
        <v>14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115857.14285714286</v>
      </c>
      <c r="M4" s="5">
        <v>0</v>
      </c>
      <c r="N4" s="5">
        <v>0</v>
      </c>
      <c r="O4" s="10">
        <v>115857.14285714286</v>
      </c>
      <c r="P4" s="15" t="s">
        <v>114</v>
      </c>
    </row>
    <row r="5" spans="1:35" ht="15.75" x14ac:dyDescent="0.25">
      <c r="A5" s="4" t="s">
        <v>70</v>
      </c>
      <c r="B5" s="11" t="s">
        <v>12</v>
      </c>
      <c r="C5" s="4" t="s">
        <v>20</v>
      </c>
      <c r="D5" s="4" t="s">
        <v>16</v>
      </c>
      <c r="E5" s="4" t="s">
        <v>14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39624.999999999993</v>
      </c>
      <c r="L5" s="5">
        <v>0</v>
      </c>
      <c r="M5" s="5">
        <v>0</v>
      </c>
      <c r="N5" s="5">
        <v>0</v>
      </c>
      <c r="O5" s="10">
        <v>39624.999999999993</v>
      </c>
      <c r="P5" s="15" t="s">
        <v>114</v>
      </c>
    </row>
    <row r="6" spans="1:35" ht="15.75" x14ac:dyDescent="0.25">
      <c r="A6" s="4" t="s">
        <v>119</v>
      </c>
      <c r="B6" s="4" t="s">
        <v>115</v>
      </c>
      <c r="C6" s="4" t="s">
        <v>116</v>
      </c>
      <c r="D6" s="4" t="s">
        <v>16</v>
      </c>
      <c r="E6" s="4" t="s">
        <v>14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10">
        <v>0</v>
      </c>
      <c r="P6" s="15" t="s">
        <v>114</v>
      </c>
    </row>
    <row r="7" spans="1:35" ht="15.75" x14ac:dyDescent="0.25">
      <c r="A7" s="7" t="s">
        <v>71</v>
      </c>
      <c r="B7" s="4" t="s">
        <v>22</v>
      </c>
      <c r="C7" s="4" t="s">
        <v>66</v>
      </c>
      <c r="D7" s="4" t="s">
        <v>57</v>
      </c>
      <c r="E7" s="4" t="s">
        <v>14</v>
      </c>
      <c r="F7" s="5">
        <v>0</v>
      </c>
      <c r="G7" s="5">
        <v>0</v>
      </c>
      <c r="H7" s="5">
        <v>0</v>
      </c>
      <c r="I7" s="5">
        <v>62500</v>
      </c>
      <c r="J7" s="5">
        <v>0</v>
      </c>
      <c r="K7" s="5">
        <v>0</v>
      </c>
      <c r="L7" s="5">
        <v>0</v>
      </c>
      <c r="M7" s="5">
        <f>IFERROR(VLOOKUP(B7,'[1]Cálculo SIG'!B:L,11,FALSE),0)</f>
        <v>0</v>
      </c>
      <c r="N7" s="5">
        <v>0</v>
      </c>
      <c r="O7" s="5">
        <f t="shared" ref="O7:O49" si="0">IF(OR(D7="Supervisor",D7="Técnico SIG",D7="Coordinador Producción"),
    MIN(250000,SUM(N7,M7,L7,K7,J7,G7,F7,H7,I7)),
    IF(OR(D7="Operario Catastral",D7="QC",D7="Validación"),
       MIN(125000,SUM(N7,M7,L7,K7,J7,G7,F7,H7,I7)),
       SUM(N7,M7,L7,K7,J7,G7,F7,H7,I7)
    )
)</f>
        <v>62500</v>
      </c>
      <c r="P7" s="15" t="s">
        <v>114</v>
      </c>
    </row>
    <row r="8" spans="1:35" ht="15.75" x14ac:dyDescent="0.25">
      <c r="A8" s="4" t="s">
        <v>72</v>
      </c>
      <c r="B8" s="4" t="s">
        <v>23</v>
      </c>
      <c r="C8" s="4" t="s">
        <v>24</v>
      </c>
      <c r="D8" s="4" t="s">
        <v>13</v>
      </c>
      <c r="E8" s="4" t="s">
        <v>14</v>
      </c>
      <c r="F8" s="5">
        <v>0</v>
      </c>
      <c r="G8" s="5">
        <v>31250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f>IFERROR(VLOOKUP(B8,'[1]Cálculo SIG'!B:L,11,FALSE),0)</f>
        <v>0</v>
      </c>
      <c r="N8" s="5">
        <v>0</v>
      </c>
      <c r="O8" s="5">
        <f t="shared" si="0"/>
        <v>31250</v>
      </c>
      <c r="P8" s="15" t="s">
        <v>114</v>
      </c>
    </row>
    <row r="9" spans="1:35" ht="15.75" x14ac:dyDescent="0.25">
      <c r="A9" s="4" t="s">
        <v>73</v>
      </c>
      <c r="B9" s="11" t="s">
        <v>25</v>
      </c>
      <c r="C9" s="4" t="s">
        <v>15</v>
      </c>
      <c r="D9" s="4" t="s">
        <v>13</v>
      </c>
      <c r="E9" s="4" t="s">
        <v>14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81928.57142857142</v>
      </c>
      <c r="M9" s="5">
        <f>IFERROR(VLOOKUP(B9,'[1]Cálculo SIG'!B:L,11,FALSE),0)</f>
        <v>0</v>
      </c>
      <c r="N9" s="5">
        <v>0</v>
      </c>
      <c r="O9" s="5">
        <f t="shared" si="0"/>
        <v>81928.57142857142</v>
      </c>
      <c r="P9" s="15" t="s">
        <v>114</v>
      </c>
    </row>
    <row r="10" spans="1:35" ht="15.75" x14ac:dyDescent="0.25">
      <c r="A10" s="4" t="s">
        <v>74</v>
      </c>
      <c r="B10" s="4" t="s">
        <v>26</v>
      </c>
      <c r="C10" s="4" t="s">
        <v>19</v>
      </c>
      <c r="D10" s="4" t="s">
        <v>16</v>
      </c>
      <c r="E10" s="4" t="s">
        <v>14</v>
      </c>
      <c r="F10" s="5">
        <v>0</v>
      </c>
      <c r="G10" s="5">
        <v>0</v>
      </c>
      <c r="H10" s="5">
        <v>0</v>
      </c>
      <c r="I10" s="5">
        <v>0</v>
      </c>
      <c r="J10" s="5">
        <v>45000</v>
      </c>
      <c r="K10" s="5">
        <v>63687.500000000007</v>
      </c>
      <c r="L10" s="5">
        <v>0</v>
      </c>
      <c r="M10" s="5">
        <f>IFERROR(VLOOKUP(B10,'[1]Cálculo SIG'!B:L,11,FALSE),0)</f>
        <v>0</v>
      </c>
      <c r="N10" s="5">
        <v>0</v>
      </c>
      <c r="O10" s="5">
        <f t="shared" si="0"/>
        <v>108687.5</v>
      </c>
      <c r="P10" s="15" t="s">
        <v>114</v>
      </c>
    </row>
    <row r="11" spans="1:35" ht="15.75" x14ac:dyDescent="0.25">
      <c r="A11" s="4" t="s">
        <v>75</v>
      </c>
      <c r="B11" s="4" t="s">
        <v>28</v>
      </c>
      <c r="C11" s="4" t="s">
        <v>21</v>
      </c>
      <c r="D11" s="4" t="s">
        <v>13</v>
      </c>
      <c r="E11" s="4" t="s">
        <v>14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f>IFERROR(VLOOKUP(B11,'[1]Cálculo SIG'!B:L,11,FALSE),0)</f>
        <v>0</v>
      </c>
      <c r="N11" s="5">
        <v>0</v>
      </c>
      <c r="O11" s="5">
        <f t="shared" si="0"/>
        <v>0</v>
      </c>
      <c r="P11" s="15" t="s">
        <v>114</v>
      </c>
    </row>
    <row r="12" spans="1:35" ht="15.75" x14ac:dyDescent="0.25">
      <c r="A12" s="4" t="s">
        <v>76</v>
      </c>
      <c r="B12" s="4" t="s">
        <v>24</v>
      </c>
      <c r="C12" s="4" t="s">
        <v>27</v>
      </c>
      <c r="D12" s="4" t="s">
        <v>16</v>
      </c>
      <c r="E12" s="4" t="s">
        <v>14</v>
      </c>
      <c r="F12" s="5">
        <v>0</v>
      </c>
      <c r="G12" s="5">
        <v>0</v>
      </c>
      <c r="H12" s="5">
        <v>0</v>
      </c>
      <c r="I12" s="5">
        <v>0</v>
      </c>
      <c r="J12" s="5">
        <v>54000</v>
      </c>
      <c r="K12" s="5">
        <v>61281.250000000007</v>
      </c>
      <c r="L12" s="5">
        <v>0</v>
      </c>
      <c r="M12" s="5">
        <f>IFERROR(VLOOKUP(B12,'[1]Cálculo SIG'!B:L,11,FALSE),0)</f>
        <v>0</v>
      </c>
      <c r="N12" s="5">
        <v>0</v>
      </c>
      <c r="O12" s="5">
        <f t="shared" si="0"/>
        <v>115281.25</v>
      </c>
      <c r="P12" s="15" t="s">
        <v>114</v>
      </c>
    </row>
    <row r="13" spans="1:35" ht="15.75" x14ac:dyDescent="0.25">
      <c r="A13" s="4" t="s">
        <v>77</v>
      </c>
      <c r="B13" s="4" t="s">
        <v>29</v>
      </c>
      <c r="C13" s="4" t="s">
        <v>34</v>
      </c>
      <c r="D13" s="4" t="s">
        <v>30</v>
      </c>
      <c r="E13" s="4" t="s">
        <v>14</v>
      </c>
      <c r="F13" s="5">
        <v>0</v>
      </c>
      <c r="G13" s="5">
        <v>62500</v>
      </c>
      <c r="H13" s="5">
        <v>125000</v>
      </c>
      <c r="I13" s="5">
        <v>0</v>
      </c>
      <c r="J13" s="5">
        <v>0</v>
      </c>
      <c r="K13" s="5">
        <v>0</v>
      </c>
      <c r="L13" s="5">
        <v>0</v>
      </c>
      <c r="M13" s="5">
        <f>IFERROR(VLOOKUP(B13,'[1]Cálculo SIG'!B:L,11,FALSE),0)</f>
        <v>0</v>
      </c>
      <c r="N13" s="5">
        <v>0</v>
      </c>
      <c r="O13" s="5">
        <f t="shared" si="0"/>
        <v>125000</v>
      </c>
      <c r="P13" s="15" t="s">
        <v>114</v>
      </c>
    </row>
    <row r="14" spans="1:35" ht="15.75" x14ac:dyDescent="0.25">
      <c r="A14" s="4" t="s">
        <v>78</v>
      </c>
      <c r="B14" s="4" t="s">
        <v>31</v>
      </c>
      <c r="C14" s="4" t="s">
        <v>66</v>
      </c>
      <c r="D14" s="4" t="s">
        <v>57</v>
      </c>
      <c r="E14" s="4" t="s">
        <v>14</v>
      </c>
      <c r="F14" s="5">
        <v>0</v>
      </c>
      <c r="G14" s="5">
        <v>0</v>
      </c>
      <c r="H14" s="5">
        <v>0</v>
      </c>
      <c r="I14" s="5">
        <v>125000</v>
      </c>
      <c r="J14" s="5">
        <v>0</v>
      </c>
      <c r="K14" s="5">
        <v>0</v>
      </c>
      <c r="L14" s="5">
        <v>0</v>
      </c>
      <c r="M14" s="5">
        <f>IFERROR(VLOOKUP(B14,'[1]Cálculo SIG'!B:L,11,FALSE),0)</f>
        <v>0</v>
      </c>
      <c r="N14" s="5">
        <v>0</v>
      </c>
      <c r="O14" s="5">
        <f t="shared" si="0"/>
        <v>125000</v>
      </c>
      <c r="P14" s="15" t="s">
        <v>114</v>
      </c>
    </row>
    <row r="15" spans="1:35" s="9" customFormat="1" ht="15.75" x14ac:dyDescent="0.25">
      <c r="A15" s="4" t="s">
        <v>79</v>
      </c>
      <c r="B15" s="4" t="s">
        <v>20</v>
      </c>
      <c r="C15" s="4" t="s">
        <v>15</v>
      </c>
      <c r="D15" s="4" t="s">
        <v>32</v>
      </c>
      <c r="E15" s="4" t="s">
        <v>14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f>IFERROR(VLOOKUP(B15,'[1]Cálculo SIG'!B:L,11,FALSE),0)</f>
        <v>83500</v>
      </c>
      <c r="N15" s="5">
        <v>0</v>
      </c>
      <c r="O15" s="5">
        <f t="shared" si="0"/>
        <v>83500</v>
      </c>
      <c r="P15" s="15" t="s">
        <v>114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ht="15.75" x14ac:dyDescent="0.25">
      <c r="A16" s="6" t="s">
        <v>80</v>
      </c>
      <c r="B16" s="4" t="s">
        <v>19</v>
      </c>
      <c r="C16" s="4" t="s">
        <v>15</v>
      </c>
      <c r="D16" s="4" t="s">
        <v>32</v>
      </c>
      <c r="E16" s="4" t="s">
        <v>14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f>IFERROR(VLOOKUP(B16,'[1]Cálculo SIG'!B:L,11,FALSE),0)</f>
        <v>83500</v>
      </c>
      <c r="N16" s="5">
        <v>0</v>
      </c>
      <c r="O16" s="5">
        <f t="shared" si="0"/>
        <v>83500</v>
      </c>
      <c r="P16" s="15" t="s">
        <v>114</v>
      </c>
    </row>
    <row r="17" spans="1:35" ht="15.75" x14ac:dyDescent="0.25">
      <c r="A17" s="4" t="s">
        <v>81</v>
      </c>
      <c r="B17" s="11" t="s">
        <v>33</v>
      </c>
      <c r="C17" s="4" t="s">
        <v>21</v>
      </c>
      <c r="D17" s="4" t="s">
        <v>13</v>
      </c>
      <c r="E17" s="4" t="s">
        <v>14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f>IFERROR(VLOOKUP(B17,'[1]Cálculo SIG'!B:L,11,FALSE),0)</f>
        <v>0</v>
      </c>
      <c r="N17" s="5">
        <v>0</v>
      </c>
      <c r="O17" s="5">
        <f t="shared" si="0"/>
        <v>0</v>
      </c>
      <c r="P17" s="15" t="s">
        <v>114</v>
      </c>
    </row>
    <row r="18" spans="1:35" s="9" customFormat="1" ht="15.75" x14ac:dyDescent="0.25">
      <c r="A18" s="4" t="s">
        <v>82</v>
      </c>
      <c r="B18" s="4" t="s">
        <v>35</v>
      </c>
      <c r="C18" s="4" t="s">
        <v>21</v>
      </c>
      <c r="D18" s="4" t="s">
        <v>13</v>
      </c>
      <c r="E18" s="4" t="s">
        <v>14</v>
      </c>
      <c r="F18" s="5">
        <v>0</v>
      </c>
      <c r="G18" s="5">
        <v>31250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f>IFERROR(VLOOKUP(B18,'[1]Cálculo SIG'!B:L,11,FALSE),0)</f>
        <v>0</v>
      </c>
      <c r="N18" s="5">
        <v>0</v>
      </c>
      <c r="O18" s="5">
        <f t="shared" si="0"/>
        <v>31250</v>
      </c>
      <c r="P18" s="15" t="s">
        <v>114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s="9" customFormat="1" ht="15.75" x14ac:dyDescent="0.25">
      <c r="A19" s="4" t="s">
        <v>83</v>
      </c>
      <c r="B19" s="4" t="s">
        <v>36</v>
      </c>
      <c r="C19" s="4" t="s">
        <v>24</v>
      </c>
      <c r="D19" s="4" t="s">
        <v>13</v>
      </c>
      <c r="E19" s="4" t="s">
        <v>14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f>IFERROR(VLOOKUP(B19,'[1]Cálculo SIG'!B:L,11,FALSE),0)</f>
        <v>0</v>
      </c>
      <c r="N19" s="5">
        <v>0</v>
      </c>
      <c r="O19" s="5">
        <f t="shared" si="0"/>
        <v>0</v>
      </c>
      <c r="P19" s="15" t="s">
        <v>114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s="9" customFormat="1" ht="15.75" x14ac:dyDescent="0.25">
      <c r="A20" s="4" t="s">
        <v>84</v>
      </c>
      <c r="B20" s="4" t="s">
        <v>37</v>
      </c>
      <c r="C20" s="4" t="s">
        <v>21</v>
      </c>
      <c r="D20" s="4" t="s">
        <v>13</v>
      </c>
      <c r="E20" s="4" t="s">
        <v>14</v>
      </c>
      <c r="F20" s="5">
        <v>0</v>
      </c>
      <c r="G20" s="5">
        <v>31250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f>IFERROR(VLOOKUP(B20,'[1]Cálculo SIG'!B:L,11,FALSE),0)</f>
        <v>0</v>
      </c>
      <c r="N20" s="5">
        <v>0</v>
      </c>
      <c r="O20" s="5">
        <f t="shared" si="0"/>
        <v>31250</v>
      </c>
      <c r="P20" s="15" t="s">
        <v>114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5.75" x14ac:dyDescent="0.25">
      <c r="A21" s="4" t="s">
        <v>85</v>
      </c>
      <c r="B21" s="11" t="s">
        <v>38</v>
      </c>
      <c r="C21" s="4" t="s">
        <v>34</v>
      </c>
      <c r="D21" s="4" t="s">
        <v>30</v>
      </c>
      <c r="E21" s="4" t="s">
        <v>14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81928.57142857142</v>
      </c>
      <c r="M21" s="5">
        <f>IFERROR(VLOOKUP(B21,'[1]Cálculo SIG'!B:L,11,FALSE),0)</f>
        <v>0</v>
      </c>
      <c r="N21" s="5">
        <v>0</v>
      </c>
      <c r="O21" s="5">
        <f t="shared" si="0"/>
        <v>81928.57142857142</v>
      </c>
      <c r="P21" s="15" t="s">
        <v>114</v>
      </c>
    </row>
    <row r="22" spans="1:35" ht="15.75" x14ac:dyDescent="0.25">
      <c r="A22" s="4" t="s">
        <v>86</v>
      </c>
      <c r="B22" s="4" t="s">
        <v>39</v>
      </c>
      <c r="C22" s="4" t="s">
        <v>26</v>
      </c>
      <c r="D22" s="4" t="s">
        <v>13</v>
      </c>
      <c r="E22" s="4" t="s">
        <v>14</v>
      </c>
      <c r="F22" s="5">
        <v>0</v>
      </c>
      <c r="G22" s="5">
        <v>62500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f>IFERROR(VLOOKUP(B22,'[1]Cálculo SIG'!B:L,11,FALSE),0)</f>
        <v>0</v>
      </c>
      <c r="N22" s="5">
        <v>0</v>
      </c>
      <c r="O22" s="5">
        <f t="shared" si="0"/>
        <v>62500</v>
      </c>
      <c r="P22" s="15" t="s">
        <v>114</v>
      </c>
    </row>
    <row r="23" spans="1:35" ht="15.75" x14ac:dyDescent="0.25">
      <c r="A23" s="4" t="s">
        <v>87</v>
      </c>
      <c r="B23" s="11" t="s">
        <v>40</v>
      </c>
      <c r="C23" s="4" t="s">
        <v>26</v>
      </c>
      <c r="D23" s="4" t="s">
        <v>13</v>
      </c>
      <c r="E23" s="4" t="s">
        <v>14</v>
      </c>
      <c r="F23" s="5">
        <v>0</v>
      </c>
      <c r="G23" s="5">
        <v>50000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f>IFERROR(VLOOKUP(B23,'[1]Cálculo SIG'!B:L,11,FALSE),0)</f>
        <v>0</v>
      </c>
      <c r="N23" s="5">
        <v>0</v>
      </c>
      <c r="O23" s="5">
        <f t="shared" si="0"/>
        <v>50000</v>
      </c>
      <c r="P23" s="15" t="s">
        <v>114</v>
      </c>
    </row>
    <row r="24" spans="1:35" ht="15.75" x14ac:dyDescent="0.25">
      <c r="A24" s="4" t="s">
        <v>88</v>
      </c>
      <c r="B24" s="4" t="s">
        <v>41</v>
      </c>
      <c r="C24" s="4" t="s">
        <v>24</v>
      </c>
      <c r="D24" s="4" t="s">
        <v>13</v>
      </c>
      <c r="E24" s="4" t="s">
        <v>14</v>
      </c>
      <c r="F24" s="5">
        <v>0</v>
      </c>
      <c r="G24" s="5">
        <v>62500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f>IFERROR(VLOOKUP(B24,'[1]Cálculo SIG'!B:L,11,FALSE),0)</f>
        <v>0</v>
      </c>
      <c r="N24" s="5">
        <v>0</v>
      </c>
      <c r="O24" s="5">
        <f t="shared" si="0"/>
        <v>62500</v>
      </c>
      <c r="P24" s="15" t="s">
        <v>114</v>
      </c>
    </row>
    <row r="25" spans="1:35" ht="15.75" x14ac:dyDescent="0.25">
      <c r="A25" s="4" t="s">
        <v>89</v>
      </c>
      <c r="B25" s="4" t="s">
        <v>42</v>
      </c>
      <c r="C25" s="4" t="s">
        <v>66</v>
      </c>
      <c r="D25" s="4" t="s">
        <v>57</v>
      </c>
      <c r="E25" s="4" t="s">
        <v>14</v>
      </c>
      <c r="F25" s="5">
        <v>0</v>
      </c>
      <c r="G25" s="5">
        <v>0</v>
      </c>
      <c r="H25" s="5">
        <v>0</v>
      </c>
      <c r="I25" s="5">
        <v>62500</v>
      </c>
      <c r="J25" s="5">
        <v>0</v>
      </c>
      <c r="K25" s="5">
        <v>0</v>
      </c>
      <c r="L25" s="5">
        <v>0</v>
      </c>
      <c r="M25" s="5">
        <f>IFERROR(VLOOKUP(B25,'[1]Cálculo SIG'!B:L,11,FALSE),0)</f>
        <v>0</v>
      </c>
      <c r="N25" s="5">
        <v>0</v>
      </c>
      <c r="O25" s="5">
        <f t="shared" si="0"/>
        <v>62500</v>
      </c>
      <c r="P25" s="15" t="s">
        <v>114</v>
      </c>
    </row>
    <row r="26" spans="1:35" s="9" customFormat="1" ht="15.75" x14ac:dyDescent="0.25">
      <c r="A26" s="4" t="s">
        <v>90</v>
      </c>
      <c r="B26" s="4" t="s">
        <v>58</v>
      </c>
      <c r="C26" s="4" t="s">
        <v>66</v>
      </c>
      <c r="D26" s="4" t="s">
        <v>13</v>
      </c>
      <c r="E26" s="4" t="s">
        <v>14</v>
      </c>
      <c r="F26" s="5">
        <v>0</v>
      </c>
      <c r="G26" s="5">
        <v>62500</v>
      </c>
      <c r="H26" s="5">
        <v>0</v>
      </c>
      <c r="I26" s="5">
        <v>100000</v>
      </c>
      <c r="J26" s="5">
        <v>0</v>
      </c>
      <c r="K26" s="5">
        <v>0</v>
      </c>
      <c r="L26" s="5">
        <v>0</v>
      </c>
      <c r="M26" s="5">
        <f>IFERROR(VLOOKUP(B26,'[1]Cálculo SIG'!B:L,11,FALSE),0)</f>
        <v>0</v>
      </c>
      <c r="N26" s="5">
        <v>0</v>
      </c>
      <c r="O26" s="5">
        <f t="shared" si="0"/>
        <v>125000</v>
      </c>
      <c r="P26" s="15" t="s">
        <v>114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5.75" x14ac:dyDescent="0.25">
      <c r="A27" s="4" t="s">
        <v>120</v>
      </c>
      <c r="B27" s="4" t="s">
        <v>117</v>
      </c>
      <c r="C27" s="4" t="s">
        <v>66</v>
      </c>
      <c r="D27" s="4" t="s">
        <v>13</v>
      </c>
      <c r="E27" s="4" t="s">
        <v>14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f>IFERROR(VLOOKUP(B27,'[1]Cálculo SIG'!B:L,11,FALSE),0)</f>
        <v>0</v>
      </c>
      <c r="N27" s="5">
        <v>0</v>
      </c>
      <c r="O27" s="5">
        <f t="shared" si="0"/>
        <v>0</v>
      </c>
      <c r="P27" s="15" t="s">
        <v>114</v>
      </c>
    </row>
    <row r="28" spans="1:35" ht="15.75" x14ac:dyDescent="0.25">
      <c r="A28" s="4" t="s">
        <v>91</v>
      </c>
      <c r="B28" s="4" t="s">
        <v>59</v>
      </c>
      <c r="C28" s="4" t="s">
        <v>24</v>
      </c>
      <c r="D28" s="4" t="s">
        <v>13</v>
      </c>
      <c r="E28" s="4" t="s">
        <v>14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f>IFERROR(VLOOKUP(B28,'[1]Cálculo SIG'!B:L,11,FALSE),0)</f>
        <v>0</v>
      </c>
      <c r="N28" s="5">
        <v>0</v>
      </c>
      <c r="O28" s="5">
        <f t="shared" si="0"/>
        <v>0</v>
      </c>
      <c r="P28" s="15" t="s">
        <v>114</v>
      </c>
    </row>
    <row r="29" spans="1:35" ht="15.75" x14ac:dyDescent="0.25">
      <c r="A29" s="4" t="s">
        <v>92</v>
      </c>
      <c r="B29" s="4" t="s">
        <v>43</v>
      </c>
      <c r="C29" s="4" t="s">
        <v>66</v>
      </c>
      <c r="D29" s="4" t="s">
        <v>57</v>
      </c>
      <c r="E29" s="4" t="s">
        <v>14</v>
      </c>
      <c r="F29" s="5">
        <v>0</v>
      </c>
      <c r="G29" s="5">
        <v>0</v>
      </c>
      <c r="H29" s="5">
        <v>0</v>
      </c>
      <c r="I29" s="5">
        <v>125000</v>
      </c>
      <c r="J29" s="5">
        <v>0</v>
      </c>
      <c r="K29" s="5">
        <v>0</v>
      </c>
      <c r="L29" s="5">
        <v>0</v>
      </c>
      <c r="M29" s="5">
        <f>IFERROR(VLOOKUP(B29,'[1]Cálculo SIG'!B:L,11,FALSE),0)</f>
        <v>0</v>
      </c>
      <c r="N29" s="5">
        <v>0</v>
      </c>
      <c r="O29" s="5">
        <f t="shared" si="0"/>
        <v>125000</v>
      </c>
      <c r="P29" s="15" t="s">
        <v>114</v>
      </c>
    </row>
    <row r="30" spans="1:35" ht="15.75" x14ac:dyDescent="0.25">
      <c r="A30" s="4" t="s">
        <v>93</v>
      </c>
      <c r="B30" s="4" t="s">
        <v>44</v>
      </c>
      <c r="C30" s="4" t="s">
        <v>34</v>
      </c>
      <c r="D30" s="4" t="s">
        <v>30</v>
      </c>
      <c r="E30" s="4" t="s">
        <v>14</v>
      </c>
      <c r="F30" s="5">
        <v>0</v>
      </c>
      <c r="G30" s="5">
        <v>0</v>
      </c>
      <c r="H30" s="5">
        <v>62500</v>
      </c>
      <c r="I30" s="5">
        <v>0</v>
      </c>
      <c r="J30" s="5">
        <v>0</v>
      </c>
      <c r="K30" s="5">
        <v>0</v>
      </c>
      <c r="L30" s="5">
        <v>0</v>
      </c>
      <c r="M30" s="5">
        <f>IFERROR(VLOOKUP(B30,'[1]Cálculo SIG'!B:L,11,FALSE),0)</f>
        <v>0</v>
      </c>
      <c r="N30" s="5">
        <v>0</v>
      </c>
      <c r="O30" s="5">
        <f t="shared" si="0"/>
        <v>62500</v>
      </c>
      <c r="P30" s="15" t="s">
        <v>114</v>
      </c>
    </row>
    <row r="31" spans="1:35" ht="15.75" x14ac:dyDescent="0.25">
      <c r="A31" s="4" t="s">
        <v>94</v>
      </c>
      <c r="B31" s="4" t="s">
        <v>34</v>
      </c>
      <c r="C31" s="4" t="s">
        <v>116</v>
      </c>
      <c r="D31" s="4" t="s">
        <v>16</v>
      </c>
      <c r="E31" s="4" t="s">
        <v>14</v>
      </c>
      <c r="F31" s="5">
        <v>0</v>
      </c>
      <c r="G31" s="5">
        <v>0</v>
      </c>
      <c r="H31" s="5">
        <v>19097.222222222223</v>
      </c>
      <c r="I31" s="5">
        <v>0</v>
      </c>
      <c r="J31" s="5">
        <v>54000</v>
      </c>
      <c r="K31" s="5">
        <v>68500</v>
      </c>
      <c r="L31" s="5">
        <v>0</v>
      </c>
      <c r="M31" s="5">
        <f>IFERROR(VLOOKUP(B31,'[1]Cálculo SIG'!B:L,11,FALSE),0)</f>
        <v>39624.999999999993</v>
      </c>
      <c r="N31" s="5">
        <v>0</v>
      </c>
      <c r="O31" s="5">
        <f t="shared" si="0"/>
        <v>181222.22222222222</v>
      </c>
      <c r="P31" s="15" t="s">
        <v>114</v>
      </c>
    </row>
    <row r="32" spans="1:35" ht="15.75" x14ac:dyDescent="0.25">
      <c r="A32" s="4" t="s">
        <v>95</v>
      </c>
      <c r="B32" s="4" t="s">
        <v>60</v>
      </c>
      <c r="C32" s="4" t="s">
        <v>26</v>
      </c>
      <c r="D32" s="4" t="s">
        <v>13</v>
      </c>
      <c r="E32" s="4" t="s">
        <v>14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f>IFERROR(VLOOKUP(B32,'[1]Cálculo SIG'!B:L,11,FALSE),0)</f>
        <v>0</v>
      </c>
      <c r="N32" s="5">
        <v>0</v>
      </c>
      <c r="O32" s="5">
        <f t="shared" si="0"/>
        <v>0</v>
      </c>
      <c r="P32" s="15" t="s">
        <v>114</v>
      </c>
    </row>
    <row r="33" spans="1:35" ht="15.75" x14ac:dyDescent="0.25">
      <c r="A33" s="4" t="s">
        <v>96</v>
      </c>
      <c r="B33" s="4" t="s">
        <v>45</v>
      </c>
      <c r="C33" s="4" t="s">
        <v>34</v>
      </c>
      <c r="D33" s="4" t="s">
        <v>30</v>
      </c>
      <c r="E33" s="4" t="s">
        <v>14</v>
      </c>
      <c r="F33" s="5">
        <v>31250</v>
      </c>
      <c r="G33" s="5">
        <v>62500</v>
      </c>
      <c r="H33" s="5">
        <v>125000</v>
      </c>
      <c r="I33" s="5">
        <v>0</v>
      </c>
      <c r="J33" s="5">
        <v>0</v>
      </c>
      <c r="K33" s="5">
        <v>0</v>
      </c>
      <c r="L33" s="5">
        <v>0</v>
      </c>
      <c r="M33" s="5">
        <f>IFERROR(VLOOKUP(B33,'[1]Cálculo SIG'!B:L,11,FALSE),0)</f>
        <v>0</v>
      </c>
      <c r="N33" s="5">
        <v>0</v>
      </c>
      <c r="O33" s="5">
        <f t="shared" si="0"/>
        <v>125000</v>
      </c>
      <c r="P33" s="15" t="s">
        <v>114</v>
      </c>
    </row>
    <row r="34" spans="1:35" ht="15.75" x14ac:dyDescent="0.25">
      <c r="A34" s="4" t="s">
        <v>97</v>
      </c>
      <c r="B34" s="4" t="s">
        <v>46</v>
      </c>
      <c r="C34" s="4" t="s">
        <v>66</v>
      </c>
      <c r="D34" s="4" t="s">
        <v>57</v>
      </c>
      <c r="E34" s="4" t="s">
        <v>14</v>
      </c>
      <c r="F34" s="5">
        <v>0</v>
      </c>
      <c r="G34" s="5">
        <v>0</v>
      </c>
      <c r="H34" s="5">
        <v>0</v>
      </c>
      <c r="I34" s="5">
        <v>125000</v>
      </c>
      <c r="J34" s="5">
        <v>0</v>
      </c>
      <c r="K34" s="5">
        <v>0</v>
      </c>
      <c r="L34" s="5">
        <v>0</v>
      </c>
      <c r="M34" s="5">
        <f>IFERROR(VLOOKUP(B34,'[1]Cálculo SIG'!B:L,11,FALSE),0)</f>
        <v>0</v>
      </c>
      <c r="N34" s="5">
        <v>0</v>
      </c>
      <c r="O34" s="5">
        <f t="shared" si="0"/>
        <v>125000</v>
      </c>
      <c r="P34" s="15" t="s">
        <v>114</v>
      </c>
    </row>
    <row r="35" spans="1:35" s="9" customFormat="1" ht="15.75" x14ac:dyDescent="0.25">
      <c r="A35" s="4" t="s">
        <v>98</v>
      </c>
      <c r="B35" s="4" t="s">
        <v>47</v>
      </c>
      <c r="C35" s="4" t="s">
        <v>66</v>
      </c>
      <c r="D35" s="4" t="s">
        <v>57</v>
      </c>
      <c r="E35" s="4" t="s">
        <v>14</v>
      </c>
      <c r="F35" s="5">
        <v>0</v>
      </c>
      <c r="G35" s="5">
        <v>0</v>
      </c>
      <c r="H35" s="5">
        <v>0</v>
      </c>
      <c r="I35" s="5">
        <v>125000</v>
      </c>
      <c r="J35" s="5">
        <v>0</v>
      </c>
      <c r="K35" s="5">
        <v>0</v>
      </c>
      <c r="L35" s="5">
        <v>0</v>
      </c>
      <c r="M35" s="5">
        <f>IFERROR(VLOOKUP(B35,'[1]Cálculo SIG'!B:L,11,FALSE),0)</f>
        <v>0</v>
      </c>
      <c r="N35" s="5">
        <v>0</v>
      </c>
      <c r="O35" s="5">
        <f t="shared" si="0"/>
        <v>125000</v>
      </c>
      <c r="P35" s="15" t="s">
        <v>114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5.75" x14ac:dyDescent="0.25">
      <c r="A36" s="6" t="s">
        <v>99</v>
      </c>
      <c r="B36" s="4" t="s">
        <v>48</v>
      </c>
      <c r="C36" s="4" t="s">
        <v>34</v>
      </c>
      <c r="D36" s="4" t="s">
        <v>30</v>
      </c>
      <c r="E36" s="4" t="s">
        <v>14</v>
      </c>
      <c r="F36" s="5">
        <v>0</v>
      </c>
      <c r="G36" s="5">
        <v>0</v>
      </c>
      <c r="H36" s="5">
        <v>125000</v>
      </c>
      <c r="I36" s="5">
        <v>0</v>
      </c>
      <c r="J36" s="5">
        <v>0</v>
      </c>
      <c r="K36" s="5">
        <v>0</v>
      </c>
      <c r="L36" s="5">
        <v>0</v>
      </c>
      <c r="M36" s="5">
        <f>IFERROR(VLOOKUP(B36,'[1]Cálculo SIG'!B:L,11,FALSE),0)</f>
        <v>0</v>
      </c>
      <c r="N36" s="5">
        <v>0</v>
      </c>
      <c r="O36" s="5">
        <f t="shared" si="0"/>
        <v>125000</v>
      </c>
      <c r="P36" s="15" t="s">
        <v>114</v>
      </c>
    </row>
    <row r="37" spans="1:35" ht="15.75" x14ac:dyDescent="0.25">
      <c r="A37" s="4" t="s">
        <v>100</v>
      </c>
      <c r="B37" s="4" t="s">
        <v>15</v>
      </c>
      <c r="C37" s="4" t="s">
        <v>118</v>
      </c>
      <c r="D37" s="4" t="s">
        <v>61</v>
      </c>
      <c r="E37" s="4" t="s">
        <v>14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f>IFERROR(VLOOKUP(B37,'[1]Cálculo SIG'!B:L,11,FALSE),0)</f>
        <v>113500</v>
      </c>
      <c r="N37" s="5">
        <v>250000</v>
      </c>
      <c r="O37" s="5">
        <f t="shared" si="0"/>
        <v>250000</v>
      </c>
      <c r="P37" s="15" t="s">
        <v>114</v>
      </c>
    </row>
    <row r="38" spans="1:35" ht="15.75" x14ac:dyDescent="0.25">
      <c r="A38" s="4" t="s">
        <v>101</v>
      </c>
      <c r="B38" s="4" t="s">
        <v>65</v>
      </c>
      <c r="C38" s="4" t="s">
        <v>26</v>
      </c>
      <c r="D38" s="4" t="s">
        <v>13</v>
      </c>
      <c r="E38" s="4" t="s">
        <v>14</v>
      </c>
      <c r="F38" s="5">
        <v>0</v>
      </c>
      <c r="G38" s="5">
        <v>62500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f>IFERROR(VLOOKUP(B38,'[1]Cálculo SIG'!B:L,11,FALSE),0)</f>
        <v>0</v>
      </c>
      <c r="N38" s="5">
        <v>0</v>
      </c>
      <c r="O38" s="5">
        <f t="shared" si="0"/>
        <v>62500</v>
      </c>
      <c r="P38" s="15" t="s">
        <v>114</v>
      </c>
    </row>
    <row r="39" spans="1:35" s="9" customFormat="1" ht="15.75" x14ac:dyDescent="0.25">
      <c r="A39" s="4" t="s">
        <v>102</v>
      </c>
      <c r="B39" s="11" t="s">
        <v>62</v>
      </c>
      <c r="C39" s="4" t="s">
        <v>26</v>
      </c>
      <c r="D39" s="4" t="s">
        <v>13</v>
      </c>
      <c r="E39" s="4" t="s">
        <v>14</v>
      </c>
      <c r="F39" s="5">
        <v>0</v>
      </c>
      <c r="G39" s="5">
        <v>31250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f>IFERROR(VLOOKUP(B39,'[1]Cálculo SIG'!B:L,11,FALSE),0)</f>
        <v>0</v>
      </c>
      <c r="N39" s="5">
        <v>0</v>
      </c>
      <c r="O39" s="5">
        <f t="shared" si="0"/>
        <v>31250</v>
      </c>
      <c r="P39" s="15" t="s">
        <v>114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s="9" customFormat="1" ht="15.75" x14ac:dyDescent="0.25">
      <c r="A40" s="4" t="s">
        <v>103</v>
      </c>
      <c r="B40" s="4" t="s">
        <v>21</v>
      </c>
      <c r="C40" s="4" t="s">
        <v>20</v>
      </c>
      <c r="D40" s="4" t="s">
        <v>16</v>
      </c>
      <c r="E40" s="4" t="s">
        <v>14</v>
      </c>
      <c r="F40" s="5">
        <v>0</v>
      </c>
      <c r="G40" s="5">
        <v>0</v>
      </c>
      <c r="H40" s="5">
        <v>0</v>
      </c>
      <c r="I40" s="5">
        <v>0</v>
      </c>
      <c r="J40" s="5">
        <v>36000</v>
      </c>
      <c r="K40" s="5">
        <v>58874.999999999993</v>
      </c>
      <c r="L40" s="5">
        <v>0</v>
      </c>
      <c r="M40" s="5">
        <f>IFERROR(VLOOKUP(B40,'[1]Cálculo SIG'!B:L,11,FALSE),0)</f>
        <v>0</v>
      </c>
      <c r="N40" s="5">
        <v>0</v>
      </c>
      <c r="O40" s="5">
        <f t="shared" si="0"/>
        <v>94875</v>
      </c>
      <c r="P40" s="15" t="s">
        <v>114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ht="15.75" x14ac:dyDescent="0.25">
      <c r="A41" s="4" t="s">
        <v>104</v>
      </c>
      <c r="B41" s="4" t="s">
        <v>63</v>
      </c>
      <c r="C41" s="4" t="s">
        <v>24</v>
      </c>
      <c r="D41" s="4" t="s">
        <v>13</v>
      </c>
      <c r="E41" s="4" t="s">
        <v>14</v>
      </c>
      <c r="F41" s="5">
        <v>0</v>
      </c>
      <c r="G41" s="5">
        <v>31250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f>IFERROR(VLOOKUP(B41,'[1]Cálculo SIG'!B:L,11,FALSE),0)</f>
        <v>0</v>
      </c>
      <c r="N41" s="5">
        <v>0</v>
      </c>
      <c r="O41" s="5">
        <f t="shared" si="0"/>
        <v>31250</v>
      </c>
      <c r="P41" s="15" t="s">
        <v>114</v>
      </c>
    </row>
    <row r="42" spans="1:35" ht="15.75" x14ac:dyDescent="0.25">
      <c r="A42" s="4" t="s">
        <v>105</v>
      </c>
      <c r="B42" s="4" t="s">
        <v>49</v>
      </c>
      <c r="C42" s="4" t="s">
        <v>21</v>
      </c>
      <c r="D42" s="4" t="s">
        <v>13</v>
      </c>
      <c r="E42" s="4" t="s">
        <v>14</v>
      </c>
      <c r="F42" s="5">
        <v>0</v>
      </c>
      <c r="G42" s="5">
        <v>31250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f>IFERROR(VLOOKUP(B42,'[1]Cálculo SIG'!B:L,11,FALSE),0)</f>
        <v>0</v>
      </c>
      <c r="N42" s="5">
        <v>0</v>
      </c>
      <c r="O42" s="5">
        <f t="shared" si="0"/>
        <v>31250</v>
      </c>
      <c r="P42" s="15" t="s">
        <v>114</v>
      </c>
    </row>
    <row r="43" spans="1:35" s="9" customFormat="1" ht="15.75" x14ac:dyDescent="0.25">
      <c r="A43" s="4" t="s">
        <v>106</v>
      </c>
      <c r="B43" s="4" t="s">
        <v>50</v>
      </c>
      <c r="C43" s="4" t="s">
        <v>34</v>
      </c>
      <c r="D43" s="4" t="s">
        <v>30</v>
      </c>
      <c r="E43" s="4" t="s">
        <v>14</v>
      </c>
      <c r="F43" s="5">
        <v>62500</v>
      </c>
      <c r="G43" s="5">
        <v>62500</v>
      </c>
      <c r="H43" s="5">
        <v>125000</v>
      </c>
      <c r="I43" s="5">
        <v>0</v>
      </c>
      <c r="J43" s="5">
        <v>0</v>
      </c>
      <c r="K43" s="5">
        <v>0</v>
      </c>
      <c r="L43" s="5">
        <v>0</v>
      </c>
      <c r="M43" s="5">
        <f>IFERROR(VLOOKUP(B43,'[1]Cálculo SIG'!B:L,11,FALSE),0)</f>
        <v>0</v>
      </c>
      <c r="N43" s="5">
        <v>0</v>
      </c>
      <c r="O43" s="5">
        <f t="shared" si="0"/>
        <v>125000</v>
      </c>
      <c r="P43" s="15" t="s">
        <v>114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ht="15.75" x14ac:dyDescent="0.25">
      <c r="A44" s="4" t="s">
        <v>107</v>
      </c>
      <c r="B44" s="4" t="s">
        <v>64</v>
      </c>
      <c r="C44" s="4" t="s">
        <v>26</v>
      </c>
      <c r="D44" s="4" t="s">
        <v>13</v>
      </c>
      <c r="E44" s="4" t="s">
        <v>14</v>
      </c>
      <c r="F44" s="5">
        <v>0</v>
      </c>
      <c r="G44" s="5">
        <v>31250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f>IFERROR(VLOOKUP(B44,'[1]Cálculo SIG'!B:L,11,FALSE),0)</f>
        <v>0</v>
      </c>
      <c r="N44" s="5">
        <v>0</v>
      </c>
      <c r="O44" s="5">
        <f t="shared" si="0"/>
        <v>31250</v>
      </c>
      <c r="P44" s="15" t="s">
        <v>114</v>
      </c>
    </row>
    <row r="45" spans="1:35" ht="15.75" x14ac:dyDescent="0.25">
      <c r="A45" s="4" t="s">
        <v>108</v>
      </c>
      <c r="B45" s="4" t="s">
        <v>51</v>
      </c>
      <c r="C45" s="4" t="s">
        <v>66</v>
      </c>
      <c r="D45" s="4" t="s">
        <v>57</v>
      </c>
      <c r="E45" s="4" t="s">
        <v>14</v>
      </c>
      <c r="F45" s="5">
        <v>0</v>
      </c>
      <c r="G45" s="5">
        <v>0</v>
      </c>
      <c r="H45" s="5">
        <v>0</v>
      </c>
      <c r="I45" s="5">
        <v>62500</v>
      </c>
      <c r="J45" s="5">
        <v>0</v>
      </c>
      <c r="K45" s="5">
        <v>0</v>
      </c>
      <c r="L45" s="5">
        <v>0</v>
      </c>
      <c r="M45" s="5">
        <f>IFERROR(VLOOKUP(B45,'[1]Cálculo SIG'!B:L,11,FALSE),0)</f>
        <v>0</v>
      </c>
      <c r="N45" s="5">
        <v>0</v>
      </c>
      <c r="O45" s="5">
        <f t="shared" si="0"/>
        <v>62500</v>
      </c>
      <c r="P45" s="15" t="s">
        <v>114</v>
      </c>
    </row>
    <row r="46" spans="1:35" s="9" customFormat="1" ht="15.75" x14ac:dyDescent="0.25">
      <c r="A46" s="4" t="s">
        <v>109</v>
      </c>
      <c r="B46" s="12" t="s">
        <v>52</v>
      </c>
      <c r="C46" s="4" t="s">
        <v>24</v>
      </c>
      <c r="D46" s="4" t="s">
        <v>13</v>
      </c>
      <c r="E46" s="4" t="s">
        <v>14</v>
      </c>
      <c r="F46" s="5">
        <v>0</v>
      </c>
      <c r="G46" s="5">
        <v>31250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f>IFERROR(VLOOKUP(B46,'[1]Cálculo SIG'!B:L,11,FALSE),0)</f>
        <v>0</v>
      </c>
      <c r="N46" s="5">
        <v>0</v>
      </c>
      <c r="O46" s="5">
        <f t="shared" si="0"/>
        <v>31250</v>
      </c>
      <c r="P46" s="15" t="s">
        <v>114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1:35" ht="15.75" x14ac:dyDescent="0.25">
      <c r="A47" s="4" t="s">
        <v>110</v>
      </c>
      <c r="B47" s="4" t="s">
        <v>53</v>
      </c>
      <c r="C47" s="4" t="s">
        <v>24</v>
      </c>
      <c r="D47" s="4" t="s">
        <v>13</v>
      </c>
      <c r="E47" s="4" t="s">
        <v>14</v>
      </c>
      <c r="F47" s="5">
        <v>0</v>
      </c>
      <c r="G47" s="5">
        <v>31250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f>IFERROR(VLOOKUP(B47,'[1]Cálculo SIG'!B:L,11,FALSE),0)</f>
        <v>0</v>
      </c>
      <c r="N47" s="5">
        <v>0</v>
      </c>
      <c r="O47" s="5">
        <f t="shared" si="0"/>
        <v>31250</v>
      </c>
      <c r="P47" s="15" t="s">
        <v>114</v>
      </c>
    </row>
    <row r="48" spans="1:35" s="9" customFormat="1" ht="15.75" x14ac:dyDescent="0.25">
      <c r="A48" s="4" t="s">
        <v>111</v>
      </c>
      <c r="B48" s="4" t="s">
        <v>27</v>
      </c>
      <c r="C48" s="4" t="s">
        <v>15</v>
      </c>
      <c r="D48" s="4" t="s">
        <v>32</v>
      </c>
      <c r="E48" s="4" t="s">
        <v>14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f>IFERROR(VLOOKUP(B48,'[1]Cálculo SIG'!B:L,11,FALSE),0)</f>
        <v>83500</v>
      </c>
      <c r="N48" s="5">
        <v>0</v>
      </c>
      <c r="O48" s="5">
        <f t="shared" si="0"/>
        <v>83500</v>
      </c>
      <c r="P48" s="15" t="s">
        <v>114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s="9" customFormat="1" ht="15.75" x14ac:dyDescent="0.25">
      <c r="A49" s="4" t="s">
        <v>112</v>
      </c>
      <c r="B49" s="4" t="s">
        <v>54</v>
      </c>
      <c r="C49" s="4" t="s">
        <v>24</v>
      </c>
      <c r="D49" s="4" t="s">
        <v>13</v>
      </c>
      <c r="E49" s="4" t="s">
        <v>14</v>
      </c>
      <c r="F49" s="5">
        <v>0</v>
      </c>
      <c r="G49" s="5">
        <v>50000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f>IFERROR(VLOOKUP(B49,'[1]Cálculo SIG'!B:L,11,FALSE),0)</f>
        <v>0</v>
      </c>
      <c r="N49" s="5">
        <v>0</v>
      </c>
      <c r="O49" s="5">
        <f t="shared" si="0"/>
        <v>50000</v>
      </c>
      <c r="P49" s="15" t="s">
        <v>114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ht="15.75" x14ac:dyDescent="0.25">
      <c r="A50" s="4" t="s">
        <v>121</v>
      </c>
      <c r="B50" s="4" t="s">
        <v>122</v>
      </c>
      <c r="C50" s="4"/>
      <c r="D50" s="4" t="s">
        <v>16</v>
      </c>
      <c r="E50" s="4" t="s">
        <v>14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4" t="s">
        <v>114</v>
      </c>
    </row>
    <row r="51" spans="1:35" ht="15.75" x14ac:dyDescent="0.25">
      <c r="A51" s="4" t="s">
        <v>123</v>
      </c>
      <c r="B51" s="4" t="s">
        <v>124</v>
      </c>
      <c r="C51" s="4"/>
      <c r="D51" s="4" t="s">
        <v>13</v>
      </c>
      <c r="E51" s="4" t="s">
        <v>14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4" t="s">
        <v>114</v>
      </c>
    </row>
    <row r="52" spans="1:35" ht="15.75" x14ac:dyDescent="0.25">
      <c r="A52" s="4" t="s">
        <v>125</v>
      </c>
      <c r="B52" s="4" t="s">
        <v>126</v>
      </c>
      <c r="C52" s="4"/>
      <c r="D52" s="4" t="s">
        <v>127</v>
      </c>
      <c r="E52" s="4" t="s">
        <v>14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4" t="s">
        <v>114</v>
      </c>
    </row>
    <row r="53" spans="1:35" ht="15.75" x14ac:dyDescent="0.25">
      <c r="A53" s="4" t="s">
        <v>128</v>
      </c>
      <c r="B53" s="4" t="s">
        <v>129</v>
      </c>
      <c r="C53" s="4"/>
      <c r="D53" s="4" t="s">
        <v>13</v>
      </c>
      <c r="E53" s="4" t="s">
        <v>14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4" t="s">
        <v>114</v>
      </c>
    </row>
    <row r="54" spans="1:35" ht="15.75" x14ac:dyDescent="0.25">
      <c r="A54" s="4" t="s">
        <v>130</v>
      </c>
      <c r="B54" s="4" t="s">
        <v>131</v>
      </c>
      <c r="C54" s="4"/>
      <c r="D54" s="4" t="s">
        <v>16</v>
      </c>
      <c r="E54" s="4" t="s">
        <v>14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4" t="s">
        <v>114</v>
      </c>
    </row>
    <row r="55" spans="1:35" ht="15.75" x14ac:dyDescent="0.25">
      <c r="A55" s="4" t="s">
        <v>132</v>
      </c>
      <c r="B55" s="4" t="s">
        <v>133</v>
      </c>
      <c r="C55" s="4"/>
      <c r="D55" s="4" t="s">
        <v>13</v>
      </c>
      <c r="E55" s="4" t="s">
        <v>14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4" t="s">
        <v>114</v>
      </c>
    </row>
    <row r="56" spans="1:35" ht="15.75" x14ac:dyDescent="0.25">
      <c r="A56" s="4" t="s">
        <v>134</v>
      </c>
      <c r="B56" s="4" t="s">
        <v>135</v>
      </c>
      <c r="C56" s="4"/>
      <c r="D56" s="4" t="s">
        <v>13</v>
      </c>
      <c r="E56" s="4" t="s">
        <v>14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4" t="s">
        <v>114</v>
      </c>
    </row>
    <row r="57" spans="1:35" ht="15.75" x14ac:dyDescent="0.25">
      <c r="A57" s="4" t="s">
        <v>136</v>
      </c>
      <c r="B57" s="4" t="s">
        <v>137</v>
      </c>
      <c r="C57" s="4"/>
      <c r="D57" s="4" t="s">
        <v>138</v>
      </c>
      <c r="E57" s="4" t="s">
        <v>14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4" t="s">
        <v>114</v>
      </c>
    </row>
    <row r="58" spans="1:35" ht="15.75" x14ac:dyDescent="0.25">
      <c r="A58" s="4" t="s">
        <v>139</v>
      </c>
      <c r="B58" s="4" t="s">
        <v>140</v>
      </c>
      <c r="C58" s="4"/>
      <c r="D58" s="4" t="s">
        <v>13</v>
      </c>
      <c r="E58" s="4" t="s">
        <v>14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4" t="s">
        <v>114</v>
      </c>
    </row>
    <row r="59" spans="1:35" ht="15.75" x14ac:dyDescent="0.25">
      <c r="A59" s="4" t="s">
        <v>141</v>
      </c>
      <c r="B59" s="4" t="s">
        <v>142</v>
      </c>
      <c r="C59" s="4"/>
      <c r="D59" s="4" t="s">
        <v>13</v>
      </c>
      <c r="E59" s="4" t="s">
        <v>14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4" t="s">
        <v>114</v>
      </c>
    </row>
    <row r="60" spans="1:35" ht="15.75" x14ac:dyDescent="0.25">
      <c r="A60" s="4" t="s">
        <v>143</v>
      </c>
      <c r="B60" s="4" t="s">
        <v>144</v>
      </c>
      <c r="C60" s="4"/>
      <c r="D60" s="4" t="s">
        <v>13</v>
      </c>
      <c r="E60" s="4" t="s">
        <v>14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4" t="s">
        <v>114</v>
      </c>
    </row>
    <row r="61" spans="1:35" ht="15.75" x14ac:dyDescent="0.25">
      <c r="A61" s="4" t="s">
        <v>145</v>
      </c>
      <c r="B61" s="4" t="s">
        <v>146</v>
      </c>
      <c r="C61" s="4"/>
      <c r="D61" s="4" t="s">
        <v>13</v>
      </c>
      <c r="E61" s="4" t="s">
        <v>14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4" t="s">
        <v>114</v>
      </c>
    </row>
    <row r="62" spans="1:35" ht="15.75" x14ac:dyDescent="0.25">
      <c r="A62" s="4" t="s">
        <v>147</v>
      </c>
      <c r="B62" s="4" t="s">
        <v>148</v>
      </c>
      <c r="C62" s="4"/>
      <c r="D62" s="4" t="s">
        <v>13</v>
      </c>
      <c r="E62" s="4" t="s">
        <v>14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4" t="s">
        <v>114</v>
      </c>
    </row>
    <row r="63" spans="1:35" ht="15.75" x14ac:dyDescent="0.25">
      <c r="A63" s="4" t="s">
        <v>149</v>
      </c>
      <c r="B63" s="4" t="s">
        <v>150</v>
      </c>
      <c r="C63" s="4"/>
      <c r="D63" s="4" t="s">
        <v>13</v>
      </c>
      <c r="E63" s="4" t="s">
        <v>14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4" t="s">
        <v>114</v>
      </c>
    </row>
    <row r="64" spans="1:35" ht="15.75" x14ac:dyDescent="0.25">
      <c r="A64" s="4" t="s">
        <v>151</v>
      </c>
      <c r="B64" s="4" t="s">
        <v>152</v>
      </c>
      <c r="C64" s="4"/>
      <c r="D64" s="4" t="s">
        <v>13</v>
      </c>
      <c r="E64" s="4" t="s">
        <v>14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4" t="s">
        <v>114</v>
      </c>
    </row>
    <row r="65" spans="1:16" ht="15.75" x14ac:dyDescent="0.25">
      <c r="A65" s="4" t="s">
        <v>153</v>
      </c>
      <c r="B65" s="4" t="s">
        <v>154</v>
      </c>
      <c r="C65" s="4"/>
      <c r="D65" s="4" t="s">
        <v>13</v>
      </c>
      <c r="E65" s="4" t="s">
        <v>14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4" t="s">
        <v>114</v>
      </c>
    </row>
    <row r="66" spans="1:16" ht="15.75" x14ac:dyDescent="0.25">
      <c r="A66" s="4" t="s">
        <v>155</v>
      </c>
      <c r="B66" s="4" t="s">
        <v>156</v>
      </c>
      <c r="C66" s="4"/>
      <c r="D66" s="4" t="s">
        <v>13</v>
      </c>
      <c r="E66" s="4" t="s">
        <v>14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4" t="s">
        <v>114</v>
      </c>
    </row>
    <row r="67" spans="1:16" ht="15.75" x14ac:dyDescent="0.25">
      <c r="A67" s="4" t="s">
        <v>157</v>
      </c>
      <c r="B67" s="4" t="s">
        <v>158</v>
      </c>
      <c r="C67" s="4"/>
      <c r="D67" s="4" t="s">
        <v>13</v>
      </c>
      <c r="E67" s="4" t="s">
        <v>14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4" t="s">
        <v>114</v>
      </c>
    </row>
    <row r="68" spans="1:16" ht="15.75" x14ac:dyDescent="0.25">
      <c r="A68" s="4" t="s">
        <v>159</v>
      </c>
      <c r="B68" s="4" t="s">
        <v>160</v>
      </c>
      <c r="C68" s="4"/>
      <c r="D68" s="4" t="s">
        <v>161</v>
      </c>
      <c r="E68" s="4" t="s">
        <v>14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4" t="s">
        <v>114</v>
      </c>
    </row>
    <row r="69" spans="1:16" ht="15.75" x14ac:dyDescent="0.25">
      <c r="A69" s="4" t="s">
        <v>162</v>
      </c>
      <c r="B69" s="4" t="s">
        <v>163</v>
      </c>
      <c r="C69" s="4"/>
      <c r="D69" s="4" t="s">
        <v>13</v>
      </c>
      <c r="E69" s="4" t="s">
        <v>14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4" t="s">
        <v>114</v>
      </c>
    </row>
    <row r="70" spans="1:16" ht="15.75" x14ac:dyDescent="0.25">
      <c r="A70" s="4" t="s">
        <v>164</v>
      </c>
      <c r="B70" s="4" t="s">
        <v>165</v>
      </c>
      <c r="C70" s="4"/>
      <c r="D70" s="4" t="s">
        <v>13</v>
      </c>
      <c r="E70" s="4" t="s">
        <v>14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4" t="s">
        <v>114</v>
      </c>
    </row>
    <row r="71" spans="1:16" ht="15.75" x14ac:dyDescent="0.25">
      <c r="A71" s="4" t="s">
        <v>166</v>
      </c>
      <c r="B71" s="4" t="s">
        <v>167</v>
      </c>
      <c r="C71" s="4"/>
      <c r="D71" s="4" t="s">
        <v>13</v>
      </c>
      <c r="E71" s="4" t="s">
        <v>14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4" t="s">
        <v>114</v>
      </c>
    </row>
    <row r="72" spans="1:16" ht="15.75" x14ac:dyDescent="0.25">
      <c r="A72" s="4" t="s">
        <v>168</v>
      </c>
      <c r="B72" s="4" t="s">
        <v>169</v>
      </c>
      <c r="C72" s="4"/>
      <c r="D72" s="4" t="s">
        <v>16</v>
      </c>
      <c r="E72" s="4" t="s">
        <v>14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4" t="s">
        <v>114</v>
      </c>
    </row>
    <row r="73" spans="1:16" ht="15.75" x14ac:dyDescent="0.25">
      <c r="A73" s="4" t="s">
        <v>170</v>
      </c>
      <c r="B73" s="4" t="s">
        <v>171</v>
      </c>
      <c r="C73" s="4"/>
      <c r="D73" s="4" t="s">
        <v>16</v>
      </c>
      <c r="E73" s="4" t="s">
        <v>14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4" t="s">
        <v>114</v>
      </c>
    </row>
    <row r="74" spans="1:16" ht="15.75" x14ac:dyDescent="0.25">
      <c r="A74" s="4" t="s">
        <v>172</v>
      </c>
      <c r="B74" s="4" t="s">
        <v>173</v>
      </c>
      <c r="C74" s="4"/>
      <c r="D74" s="4" t="s">
        <v>13</v>
      </c>
      <c r="E74" s="4" t="s">
        <v>14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4" t="s">
        <v>114</v>
      </c>
    </row>
    <row r="75" spans="1:16" ht="15.75" x14ac:dyDescent="0.25">
      <c r="A75" s="4" t="s">
        <v>174</v>
      </c>
      <c r="B75" s="4" t="s">
        <v>175</v>
      </c>
      <c r="C75" s="4"/>
      <c r="D75" s="4" t="s">
        <v>176</v>
      </c>
      <c r="E75" s="4" t="s">
        <v>14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4" t="s">
        <v>114</v>
      </c>
    </row>
    <row r="76" spans="1:16" ht="15.75" x14ac:dyDescent="0.25">
      <c r="A76" s="4" t="s">
        <v>177</v>
      </c>
      <c r="B76" s="4" t="s">
        <v>178</v>
      </c>
      <c r="C76" s="4"/>
      <c r="D76" s="4" t="s">
        <v>13</v>
      </c>
      <c r="E76" s="4" t="s">
        <v>14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4" t="s">
        <v>114</v>
      </c>
    </row>
    <row r="77" spans="1:16" ht="15.75" x14ac:dyDescent="0.25">
      <c r="A77" s="4" t="s">
        <v>179</v>
      </c>
      <c r="B77" s="4" t="s">
        <v>180</v>
      </c>
      <c r="C77" s="4"/>
      <c r="D77" s="4" t="s">
        <v>16</v>
      </c>
      <c r="E77" s="4" t="s">
        <v>14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4" t="s">
        <v>114</v>
      </c>
    </row>
    <row r="78" spans="1:16" ht="15.75" x14ac:dyDescent="0.25">
      <c r="A78" s="4" t="s">
        <v>181</v>
      </c>
      <c r="B78" s="4" t="s">
        <v>182</v>
      </c>
      <c r="C78" s="4"/>
      <c r="D78" s="4" t="s">
        <v>13</v>
      </c>
      <c r="E78" s="4" t="s">
        <v>14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4" t="s">
        <v>114</v>
      </c>
    </row>
    <row r="79" spans="1:16" ht="15.75" x14ac:dyDescent="0.25">
      <c r="A79" s="4" t="s">
        <v>183</v>
      </c>
      <c r="B79" s="4" t="s">
        <v>184</v>
      </c>
      <c r="C79" s="4"/>
      <c r="D79" s="4" t="s">
        <v>13</v>
      </c>
      <c r="E79" s="4" t="s">
        <v>14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4" t="s">
        <v>114</v>
      </c>
    </row>
    <row r="80" spans="1:16" ht="15.75" x14ac:dyDescent="0.25">
      <c r="A80" s="4" t="s">
        <v>185</v>
      </c>
      <c r="B80" s="4" t="s">
        <v>186</v>
      </c>
      <c r="C80" s="4"/>
      <c r="D80" s="4" t="s">
        <v>13</v>
      </c>
      <c r="E80" s="4" t="s">
        <v>14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4" t="s">
        <v>114</v>
      </c>
    </row>
    <row r="81" spans="1:16" ht="15.75" x14ac:dyDescent="0.25">
      <c r="A81" s="4" t="s">
        <v>187</v>
      </c>
      <c r="B81" s="4" t="s">
        <v>188</v>
      </c>
      <c r="C81" s="4"/>
      <c r="D81" s="4" t="s">
        <v>13</v>
      </c>
      <c r="E81" s="4" t="s">
        <v>14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4" t="s">
        <v>114</v>
      </c>
    </row>
    <row r="82" spans="1:16" ht="15.75" x14ac:dyDescent="0.25">
      <c r="A82" s="4" t="s">
        <v>189</v>
      </c>
      <c r="B82" s="4" t="s">
        <v>190</v>
      </c>
      <c r="C82" s="4"/>
      <c r="D82" s="4" t="s">
        <v>176</v>
      </c>
      <c r="E82" s="4" t="s">
        <v>14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4" t="s">
        <v>114</v>
      </c>
    </row>
    <row r="83" spans="1:16" ht="15.75" x14ac:dyDescent="0.25">
      <c r="A83" s="4" t="s">
        <v>191</v>
      </c>
      <c r="B83" s="4" t="s">
        <v>192</v>
      </c>
      <c r="C83" s="4"/>
      <c r="D83" s="4" t="s">
        <v>13</v>
      </c>
      <c r="E83" s="4" t="s">
        <v>14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4" t="s">
        <v>114</v>
      </c>
    </row>
    <row r="84" spans="1:16" ht="15.75" x14ac:dyDescent="0.25">
      <c r="A84" s="4" t="s">
        <v>193</v>
      </c>
      <c r="B84" s="4" t="s">
        <v>194</v>
      </c>
      <c r="C84" s="4"/>
      <c r="D84" s="4" t="s">
        <v>13</v>
      </c>
      <c r="E84" s="4" t="s">
        <v>14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4" t="s">
        <v>114</v>
      </c>
    </row>
    <row r="85" spans="1:16" ht="15.75" x14ac:dyDescent="0.25">
      <c r="A85" s="4" t="s">
        <v>195</v>
      </c>
      <c r="B85" s="4" t="s">
        <v>196</v>
      </c>
      <c r="C85" s="4"/>
      <c r="D85" s="4" t="s">
        <v>13</v>
      </c>
      <c r="E85" s="4" t="s">
        <v>14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4" t="s">
        <v>114</v>
      </c>
    </row>
    <row r="86" spans="1:16" ht="15.75" x14ac:dyDescent="0.25">
      <c r="A86" s="4" t="s">
        <v>197</v>
      </c>
      <c r="B86" s="4" t="s">
        <v>198</v>
      </c>
      <c r="C86" s="4"/>
      <c r="D86" s="4" t="s">
        <v>13</v>
      </c>
      <c r="E86" s="4" t="s">
        <v>14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4" t="s">
        <v>114</v>
      </c>
    </row>
    <row r="87" spans="1:16" ht="15.75" x14ac:dyDescent="0.25">
      <c r="A87" s="4" t="s">
        <v>199</v>
      </c>
      <c r="B87" s="4" t="s">
        <v>200</v>
      </c>
      <c r="C87" s="4"/>
      <c r="D87" s="4" t="s">
        <v>13</v>
      </c>
      <c r="E87" s="4" t="s">
        <v>14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4" t="s">
        <v>114</v>
      </c>
    </row>
    <row r="88" spans="1:16" ht="15.75" x14ac:dyDescent="0.25">
      <c r="A88" s="4" t="s">
        <v>201</v>
      </c>
      <c r="B88" s="4" t="s">
        <v>202</v>
      </c>
      <c r="C88" s="4"/>
      <c r="D88" s="4" t="s">
        <v>176</v>
      </c>
      <c r="E88" s="4" t="s">
        <v>14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4" t="s">
        <v>114</v>
      </c>
    </row>
    <row r="89" spans="1:16" ht="15.75" x14ac:dyDescent="0.25">
      <c r="A89" s="4" t="s">
        <v>203</v>
      </c>
      <c r="B89" s="4" t="s">
        <v>204</v>
      </c>
      <c r="C89" s="4"/>
      <c r="D89" s="4" t="s">
        <v>13</v>
      </c>
      <c r="E89" s="4" t="s">
        <v>14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4" t="s">
        <v>114</v>
      </c>
    </row>
    <row r="90" spans="1:16" ht="15.75" x14ac:dyDescent="0.25">
      <c r="A90" s="4" t="s">
        <v>205</v>
      </c>
      <c r="B90" s="4" t="s">
        <v>206</v>
      </c>
      <c r="C90" s="4"/>
      <c r="D90" s="4" t="s">
        <v>13</v>
      </c>
      <c r="E90" s="4" t="s">
        <v>14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4" t="s">
        <v>114</v>
      </c>
    </row>
    <row r="91" spans="1:16" ht="15.75" x14ac:dyDescent="0.25">
      <c r="A91" s="4" t="s">
        <v>207</v>
      </c>
      <c r="B91" s="4" t="s">
        <v>208</v>
      </c>
      <c r="C91" s="4"/>
      <c r="D91" s="4" t="s">
        <v>176</v>
      </c>
      <c r="E91" s="4" t="s">
        <v>14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4" t="s">
        <v>114</v>
      </c>
    </row>
    <row r="92" spans="1:16" ht="15.75" x14ac:dyDescent="0.25">
      <c r="A92" s="4" t="s">
        <v>209</v>
      </c>
      <c r="B92" s="4" t="s">
        <v>210</v>
      </c>
      <c r="C92" s="4"/>
      <c r="D92" s="4" t="s">
        <v>13</v>
      </c>
      <c r="E92" s="4" t="s">
        <v>14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4" t="s">
        <v>114</v>
      </c>
    </row>
    <row r="93" spans="1:16" ht="15.75" x14ac:dyDescent="0.25">
      <c r="A93" s="4" t="s">
        <v>211</v>
      </c>
      <c r="B93" s="4" t="s">
        <v>212</v>
      </c>
      <c r="C93" s="4"/>
      <c r="D93" s="4" t="s">
        <v>13</v>
      </c>
      <c r="E93" s="4" t="s">
        <v>14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4" t="s">
        <v>114</v>
      </c>
    </row>
    <row r="94" spans="1:16" ht="15.75" x14ac:dyDescent="0.25">
      <c r="A94" s="4" t="s">
        <v>213</v>
      </c>
      <c r="B94" s="4" t="s">
        <v>214</v>
      </c>
      <c r="C94" s="4"/>
      <c r="D94" s="4" t="s">
        <v>13</v>
      </c>
      <c r="E94" s="4" t="s">
        <v>14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4" t="s">
        <v>114</v>
      </c>
    </row>
    <row r="95" spans="1:16" ht="15.75" x14ac:dyDescent="0.25">
      <c r="A95" s="4" t="s">
        <v>215</v>
      </c>
      <c r="B95" s="4" t="s">
        <v>216</v>
      </c>
      <c r="C95" s="4"/>
      <c r="D95" s="4" t="s">
        <v>13</v>
      </c>
      <c r="E95" s="4" t="s">
        <v>14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4" t="s">
        <v>114</v>
      </c>
    </row>
    <row r="96" spans="1:16" ht="15.75" x14ac:dyDescent="0.25">
      <c r="A96" s="4" t="s">
        <v>217</v>
      </c>
      <c r="B96" s="4" t="s">
        <v>218</v>
      </c>
      <c r="C96" s="4"/>
      <c r="D96" s="4" t="s">
        <v>13</v>
      </c>
      <c r="E96" s="4" t="s">
        <v>14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4" t="s">
        <v>114</v>
      </c>
    </row>
    <row r="97" spans="1:16" ht="15.75" x14ac:dyDescent="0.25">
      <c r="A97" s="4" t="s">
        <v>219</v>
      </c>
      <c r="B97" s="4" t="s">
        <v>220</v>
      </c>
      <c r="C97" s="4"/>
      <c r="D97" s="4" t="s">
        <v>13</v>
      </c>
      <c r="E97" s="4" t="s">
        <v>14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4" t="s">
        <v>114</v>
      </c>
    </row>
    <row r="98" spans="1:16" ht="15.75" x14ac:dyDescent="0.25">
      <c r="A98" s="4" t="s">
        <v>221</v>
      </c>
      <c r="B98" s="4" t="s">
        <v>222</v>
      </c>
      <c r="C98" s="4"/>
      <c r="D98" s="4" t="s">
        <v>176</v>
      </c>
      <c r="E98" s="4" t="s">
        <v>14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4" t="s">
        <v>114</v>
      </c>
    </row>
    <row r="99" spans="1:16" ht="15.75" x14ac:dyDescent="0.25">
      <c r="A99" s="4" t="s">
        <v>223</v>
      </c>
      <c r="B99" s="4" t="s">
        <v>224</v>
      </c>
      <c r="C99" s="4"/>
      <c r="D99" s="4" t="s">
        <v>13</v>
      </c>
      <c r="E99" s="4" t="s">
        <v>14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4" t="s">
        <v>114</v>
      </c>
    </row>
    <row r="100" spans="1:16" ht="15.75" x14ac:dyDescent="0.25">
      <c r="A100" s="4" t="s">
        <v>225</v>
      </c>
      <c r="B100" s="4" t="s">
        <v>226</v>
      </c>
      <c r="C100" s="4"/>
      <c r="D100" s="4" t="s">
        <v>127</v>
      </c>
      <c r="E100" s="4" t="s">
        <v>14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4" t="s">
        <v>114</v>
      </c>
    </row>
    <row r="101" spans="1:16" ht="15.75" x14ac:dyDescent="0.25">
      <c r="A101" s="4" t="s">
        <v>227</v>
      </c>
      <c r="B101" s="4" t="s">
        <v>228</v>
      </c>
      <c r="C101" s="4"/>
      <c r="D101" s="4" t="s">
        <v>176</v>
      </c>
      <c r="E101" s="4" t="s">
        <v>14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4" t="s">
        <v>114</v>
      </c>
    </row>
    <row r="102" spans="1:16" ht="15.75" x14ac:dyDescent="0.25">
      <c r="A102" s="4" t="s">
        <v>229</v>
      </c>
      <c r="B102" s="4" t="s">
        <v>230</v>
      </c>
      <c r="C102" s="4"/>
      <c r="D102" s="4" t="s">
        <v>176</v>
      </c>
      <c r="E102" s="4" t="s">
        <v>14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4" t="s">
        <v>114</v>
      </c>
    </row>
    <row r="103" spans="1:16" ht="15.75" x14ac:dyDescent="0.25">
      <c r="A103" s="4" t="s">
        <v>231</v>
      </c>
      <c r="B103" s="4" t="s">
        <v>232</v>
      </c>
      <c r="C103" s="4"/>
      <c r="D103" s="4" t="s">
        <v>176</v>
      </c>
      <c r="E103" s="4" t="s">
        <v>14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4" t="s">
        <v>114</v>
      </c>
    </row>
    <row r="104" spans="1:16" ht="15.75" x14ac:dyDescent="0.25">
      <c r="A104" s="4" t="s">
        <v>233</v>
      </c>
      <c r="B104" s="4" t="s">
        <v>234</v>
      </c>
      <c r="C104" s="4"/>
      <c r="D104" s="4" t="s">
        <v>127</v>
      </c>
      <c r="E104" s="4" t="s">
        <v>14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4" t="s">
        <v>114</v>
      </c>
    </row>
    <row r="105" spans="1:16" ht="15.75" x14ac:dyDescent="0.25">
      <c r="A105" s="4" t="s">
        <v>235</v>
      </c>
      <c r="B105" s="4" t="s">
        <v>236</v>
      </c>
      <c r="C105" s="4"/>
      <c r="D105" s="4" t="s">
        <v>13</v>
      </c>
      <c r="E105" s="4" t="s">
        <v>14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4" t="s">
        <v>114</v>
      </c>
    </row>
    <row r="106" spans="1:16" ht="15.75" x14ac:dyDescent="0.25">
      <c r="A106" s="4" t="s">
        <v>237</v>
      </c>
      <c r="B106" s="4" t="s">
        <v>238</v>
      </c>
      <c r="C106" s="4"/>
      <c r="D106" s="4" t="s">
        <v>13</v>
      </c>
      <c r="E106" s="4" t="s">
        <v>14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4" t="s">
        <v>114</v>
      </c>
    </row>
    <row r="107" spans="1:16" ht="15.75" x14ac:dyDescent="0.25">
      <c r="A107" s="4" t="s">
        <v>239</v>
      </c>
      <c r="B107" s="4" t="s">
        <v>240</v>
      </c>
      <c r="C107" s="4"/>
      <c r="D107" s="4" t="s">
        <v>13</v>
      </c>
      <c r="E107" s="4" t="s">
        <v>14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4" t="s">
        <v>114</v>
      </c>
    </row>
    <row r="108" spans="1:16" ht="15.75" x14ac:dyDescent="0.25">
      <c r="A108" s="4" t="s">
        <v>241</v>
      </c>
      <c r="B108" s="4" t="s">
        <v>242</v>
      </c>
      <c r="C108" s="4"/>
      <c r="D108" s="4" t="s">
        <v>13</v>
      </c>
      <c r="E108" s="4" t="s">
        <v>14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4" t="s">
        <v>114</v>
      </c>
    </row>
    <row r="109" spans="1:16" ht="15.75" x14ac:dyDescent="0.25">
      <c r="A109" s="4" t="s">
        <v>243</v>
      </c>
      <c r="B109" s="4" t="s">
        <v>244</v>
      </c>
      <c r="C109" s="4"/>
      <c r="D109" s="4" t="s">
        <v>13</v>
      </c>
      <c r="E109" s="4" t="s">
        <v>14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4" t="s">
        <v>114</v>
      </c>
    </row>
    <row r="110" spans="1:16" ht="15.75" x14ac:dyDescent="0.25">
      <c r="A110" s="4" t="s">
        <v>245</v>
      </c>
      <c r="B110" s="4" t="s">
        <v>246</v>
      </c>
      <c r="C110" s="4"/>
      <c r="D110" s="4" t="s">
        <v>13</v>
      </c>
      <c r="E110" s="4" t="s">
        <v>14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4" t="s">
        <v>114</v>
      </c>
    </row>
    <row r="111" spans="1:16" ht="15.75" x14ac:dyDescent="0.25">
      <c r="A111" s="4" t="s">
        <v>247</v>
      </c>
      <c r="B111" s="4" t="s">
        <v>248</v>
      </c>
      <c r="C111" s="4"/>
      <c r="D111" s="4" t="s">
        <v>13</v>
      </c>
      <c r="E111" s="4" t="s">
        <v>14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4" t="s">
        <v>114</v>
      </c>
    </row>
    <row r="112" spans="1:16" ht="15.75" x14ac:dyDescent="0.25">
      <c r="A112" s="4" t="s">
        <v>249</v>
      </c>
      <c r="B112" s="4" t="s">
        <v>250</v>
      </c>
      <c r="C112" s="4"/>
      <c r="D112" s="4" t="s">
        <v>13</v>
      </c>
      <c r="E112" s="4" t="s">
        <v>14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4" t="s">
        <v>114</v>
      </c>
    </row>
    <row r="113" spans="1:16" ht="15.75" x14ac:dyDescent="0.25">
      <c r="A113" s="4" t="s">
        <v>251</v>
      </c>
      <c r="B113" s="4" t="s">
        <v>252</v>
      </c>
      <c r="C113" s="4"/>
      <c r="D113" s="4" t="s">
        <v>176</v>
      </c>
      <c r="E113" s="4" t="s">
        <v>14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4" t="s">
        <v>114</v>
      </c>
    </row>
    <row r="114" spans="1:16" ht="15.75" x14ac:dyDescent="0.25">
      <c r="A114" s="4" t="s">
        <v>253</v>
      </c>
      <c r="B114" s="4" t="s">
        <v>254</v>
      </c>
      <c r="C114" s="4"/>
      <c r="D114" s="4" t="s">
        <v>255</v>
      </c>
      <c r="E114" s="4" t="s">
        <v>14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4" t="s">
        <v>114</v>
      </c>
    </row>
    <row r="115" spans="1:16" ht="15.75" x14ac:dyDescent="0.25">
      <c r="A115" s="4" t="s">
        <v>256</v>
      </c>
      <c r="B115" s="4" t="s">
        <v>257</v>
      </c>
      <c r="C115" s="4"/>
      <c r="D115" s="4" t="s">
        <v>13</v>
      </c>
      <c r="E115" s="4" t="s">
        <v>14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4" t="s">
        <v>114</v>
      </c>
    </row>
    <row r="116" spans="1:16" ht="15.75" x14ac:dyDescent="0.25">
      <c r="A116" s="4" t="s">
        <v>258</v>
      </c>
      <c r="B116" s="4" t="s">
        <v>259</v>
      </c>
      <c r="C116" s="4"/>
      <c r="D116" s="4" t="s">
        <v>13</v>
      </c>
      <c r="E116" s="4" t="s">
        <v>14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4" t="s">
        <v>114</v>
      </c>
    </row>
    <row r="117" spans="1:16" ht="15.75" x14ac:dyDescent="0.25">
      <c r="A117" s="4" t="s">
        <v>260</v>
      </c>
      <c r="B117" s="4" t="s">
        <v>261</v>
      </c>
      <c r="C117" s="4"/>
      <c r="D117" s="4" t="s">
        <v>13</v>
      </c>
      <c r="E117" s="4" t="s">
        <v>14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4" t="s">
        <v>114</v>
      </c>
    </row>
    <row r="118" spans="1:16" ht="15.75" x14ac:dyDescent="0.25">
      <c r="A118" s="4" t="s">
        <v>262</v>
      </c>
      <c r="B118" s="4" t="s">
        <v>263</v>
      </c>
      <c r="C118" s="4"/>
      <c r="D118" s="4" t="s">
        <v>13</v>
      </c>
      <c r="E118" s="4" t="s">
        <v>14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4" t="s">
        <v>114</v>
      </c>
    </row>
    <row r="119" spans="1:16" ht="15.75" x14ac:dyDescent="0.25">
      <c r="A119" s="4" t="s">
        <v>264</v>
      </c>
      <c r="B119" s="4" t="s">
        <v>265</v>
      </c>
      <c r="C119" s="4"/>
      <c r="D119" s="4" t="s">
        <v>13</v>
      </c>
      <c r="E119" s="4" t="s">
        <v>14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4" t="s">
        <v>114</v>
      </c>
    </row>
    <row r="120" spans="1:16" ht="15.75" x14ac:dyDescent="0.25">
      <c r="A120" s="4" t="s">
        <v>266</v>
      </c>
      <c r="B120" s="4" t="s">
        <v>267</v>
      </c>
      <c r="C120" s="4"/>
      <c r="D120" s="4" t="s">
        <v>13</v>
      </c>
      <c r="E120" s="4" t="s">
        <v>14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4" t="s">
        <v>114</v>
      </c>
    </row>
    <row r="121" spans="1:16" ht="15.75" x14ac:dyDescent="0.25">
      <c r="A121" s="4" t="s">
        <v>268</v>
      </c>
      <c r="B121" s="4" t="s">
        <v>269</v>
      </c>
      <c r="C121" s="4"/>
      <c r="D121" s="4" t="s">
        <v>270</v>
      </c>
      <c r="E121" s="4" t="s">
        <v>14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4" t="s">
        <v>114</v>
      </c>
    </row>
    <row r="122" spans="1:16" ht="15.75" x14ac:dyDescent="0.25">
      <c r="A122" s="4" t="s">
        <v>271</v>
      </c>
      <c r="B122" s="4" t="s">
        <v>272</v>
      </c>
      <c r="C122" s="4"/>
      <c r="D122" s="4" t="s">
        <v>13</v>
      </c>
      <c r="E122" s="4" t="s">
        <v>14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4" t="s">
        <v>114</v>
      </c>
    </row>
    <row r="123" spans="1:16" ht="15.75" x14ac:dyDescent="0.25">
      <c r="A123" s="4" t="s">
        <v>273</v>
      </c>
      <c r="B123" s="4" t="s">
        <v>274</v>
      </c>
      <c r="C123" s="4"/>
      <c r="D123" s="4" t="s">
        <v>13</v>
      </c>
      <c r="E123" s="4" t="s">
        <v>14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4" t="s">
        <v>114</v>
      </c>
    </row>
    <row r="124" spans="1:16" ht="15.75" x14ac:dyDescent="0.25">
      <c r="A124" s="4" t="s">
        <v>275</v>
      </c>
      <c r="B124" s="4" t="s">
        <v>276</v>
      </c>
      <c r="C124" s="4"/>
      <c r="D124" s="4" t="s">
        <v>13</v>
      </c>
      <c r="E124" s="4" t="s">
        <v>14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4" t="s">
        <v>114</v>
      </c>
    </row>
    <row r="125" spans="1:16" ht="15.75" x14ac:dyDescent="0.25">
      <c r="A125" s="4" t="s">
        <v>277</v>
      </c>
      <c r="B125" s="4" t="s">
        <v>278</v>
      </c>
      <c r="C125" s="4"/>
      <c r="D125" s="4" t="s">
        <v>127</v>
      </c>
      <c r="E125" s="4" t="s">
        <v>14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4" t="s">
        <v>114</v>
      </c>
    </row>
    <row r="126" spans="1:16" ht="15.75" x14ac:dyDescent="0.25">
      <c r="A126" s="4" t="s">
        <v>279</v>
      </c>
      <c r="B126" s="4" t="s">
        <v>280</v>
      </c>
      <c r="C126" s="4"/>
      <c r="D126" s="4" t="s">
        <v>13</v>
      </c>
      <c r="E126" s="4" t="s">
        <v>14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4" t="s">
        <v>114</v>
      </c>
    </row>
    <row r="127" spans="1:16" ht="15.75" x14ac:dyDescent="0.25">
      <c r="A127" s="4" t="s">
        <v>281</v>
      </c>
      <c r="B127" s="4" t="s">
        <v>282</v>
      </c>
      <c r="C127" s="4"/>
      <c r="D127" s="4" t="s">
        <v>138</v>
      </c>
      <c r="E127" s="4" t="s">
        <v>14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4" t="s">
        <v>114</v>
      </c>
    </row>
    <row r="128" spans="1:16" ht="15.75" x14ac:dyDescent="0.25">
      <c r="A128" s="4" t="s">
        <v>283</v>
      </c>
      <c r="B128" s="4" t="s">
        <v>284</v>
      </c>
      <c r="C128" s="4"/>
      <c r="D128" s="4" t="s">
        <v>13</v>
      </c>
      <c r="E128" s="4" t="s">
        <v>14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4" t="s">
        <v>114</v>
      </c>
    </row>
    <row r="129" spans="1:16" ht="15.75" x14ac:dyDescent="0.25">
      <c r="A129" s="4" t="s">
        <v>285</v>
      </c>
      <c r="B129" s="4" t="s">
        <v>286</v>
      </c>
      <c r="C129" s="4"/>
      <c r="D129" s="4" t="s">
        <v>13</v>
      </c>
      <c r="E129" s="4" t="s">
        <v>14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4" t="s">
        <v>114</v>
      </c>
    </row>
    <row r="130" spans="1:16" ht="15.75" x14ac:dyDescent="0.25">
      <c r="A130" s="4" t="s">
        <v>287</v>
      </c>
      <c r="B130" s="4" t="s">
        <v>288</v>
      </c>
      <c r="C130" s="4"/>
      <c r="D130" s="4" t="s">
        <v>127</v>
      </c>
      <c r="E130" s="4" t="s">
        <v>14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4" t="s">
        <v>114</v>
      </c>
    </row>
    <row r="131" spans="1:16" ht="15.75" x14ac:dyDescent="0.25">
      <c r="A131" s="4" t="s">
        <v>289</v>
      </c>
      <c r="B131" s="4" t="s">
        <v>290</v>
      </c>
      <c r="C131" s="4"/>
      <c r="D131" s="4" t="s">
        <v>13</v>
      </c>
      <c r="E131" s="4" t="s">
        <v>14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4" t="s">
        <v>114</v>
      </c>
    </row>
    <row r="132" spans="1:16" ht="15.75" x14ac:dyDescent="0.25">
      <c r="A132" s="4" t="s">
        <v>291</v>
      </c>
      <c r="B132" s="4" t="s">
        <v>292</v>
      </c>
      <c r="C132" s="4"/>
      <c r="D132" s="4" t="s">
        <v>13</v>
      </c>
      <c r="E132" s="4" t="s">
        <v>14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4" t="s">
        <v>114</v>
      </c>
    </row>
    <row r="133" spans="1:16" ht="15.75" x14ac:dyDescent="0.25">
      <c r="A133" s="4" t="s">
        <v>293</v>
      </c>
      <c r="B133" s="4" t="s">
        <v>294</v>
      </c>
      <c r="C133" s="4"/>
      <c r="D133" s="4" t="s">
        <v>13</v>
      </c>
      <c r="E133" s="4" t="s">
        <v>14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4" t="s">
        <v>114</v>
      </c>
    </row>
    <row r="134" spans="1:16" ht="15.75" x14ac:dyDescent="0.25">
      <c r="A134" s="4" t="s">
        <v>295</v>
      </c>
      <c r="B134" s="4" t="s">
        <v>296</v>
      </c>
      <c r="C134" s="4"/>
      <c r="D134" s="4" t="s">
        <v>13</v>
      </c>
      <c r="E134" s="4" t="s">
        <v>14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4" t="s">
        <v>114</v>
      </c>
    </row>
    <row r="135" spans="1:16" ht="15.75" x14ac:dyDescent="0.25">
      <c r="A135" s="4" t="s">
        <v>297</v>
      </c>
      <c r="B135" s="4" t="s">
        <v>298</v>
      </c>
      <c r="C135" s="4"/>
      <c r="D135" s="4" t="s">
        <v>176</v>
      </c>
      <c r="E135" s="4" t="s">
        <v>14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4" t="s">
        <v>114</v>
      </c>
    </row>
    <row r="136" spans="1:16" ht="15.75" x14ac:dyDescent="0.25">
      <c r="A136" s="4" t="s">
        <v>299</v>
      </c>
      <c r="B136" s="4" t="s">
        <v>300</v>
      </c>
      <c r="C136" s="4"/>
      <c r="D136" s="4" t="s">
        <v>13</v>
      </c>
      <c r="E136" s="4" t="s">
        <v>14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4" t="s">
        <v>114</v>
      </c>
    </row>
    <row r="137" spans="1:16" ht="15.75" x14ac:dyDescent="0.25">
      <c r="A137" s="4" t="s">
        <v>301</v>
      </c>
      <c r="B137" s="4" t="s">
        <v>302</v>
      </c>
      <c r="C137" s="4"/>
      <c r="D137" s="4" t="s">
        <v>13</v>
      </c>
      <c r="E137" s="4" t="s">
        <v>14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4" t="s">
        <v>114</v>
      </c>
    </row>
    <row r="138" spans="1:16" ht="15.75" x14ac:dyDescent="0.25">
      <c r="A138" s="4" t="s">
        <v>303</v>
      </c>
      <c r="B138" s="4" t="s">
        <v>304</v>
      </c>
      <c r="C138" s="4"/>
      <c r="D138" s="4" t="s">
        <v>176</v>
      </c>
      <c r="E138" s="4" t="s">
        <v>14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4" t="s">
        <v>114</v>
      </c>
    </row>
    <row r="139" spans="1:16" ht="15.75" x14ac:dyDescent="0.25">
      <c r="A139" s="4" t="s">
        <v>305</v>
      </c>
      <c r="B139" s="4" t="s">
        <v>306</v>
      </c>
      <c r="C139" s="4"/>
      <c r="D139" s="4" t="s">
        <v>16</v>
      </c>
      <c r="E139" s="4" t="s">
        <v>14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4" t="s">
        <v>114</v>
      </c>
    </row>
    <row r="140" spans="1:16" ht="15.75" x14ac:dyDescent="0.25">
      <c r="A140" s="4" t="s">
        <v>307</v>
      </c>
      <c r="B140" s="4" t="s">
        <v>308</v>
      </c>
      <c r="C140" s="4"/>
      <c r="D140" s="4" t="s">
        <v>16</v>
      </c>
      <c r="E140" s="4" t="s">
        <v>14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4" t="s">
        <v>114</v>
      </c>
    </row>
    <row r="141" spans="1:16" ht="15.75" x14ac:dyDescent="0.25">
      <c r="A141" s="4" t="s">
        <v>309</v>
      </c>
      <c r="B141" s="4" t="s">
        <v>310</v>
      </c>
      <c r="C141" s="4"/>
      <c r="D141" s="4" t="s">
        <v>311</v>
      </c>
      <c r="E141" s="4" t="s">
        <v>14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4" t="s">
        <v>114</v>
      </c>
    </row>
    <row r="142" spans="1:16" ht="15.75" x14ac:dyDescent="0.25">
      <c r="A142" s="4" t="s">
        <v>312</v>
      </c>
      <c r="B142" s="4" t="s">
        <v>313</v>
      </c>
      <c r="C142" s="4"/>
      <c r="D142" s="4" t="s">
        <v>13</v>
      </c>
      <c r="E142" s="4" t="s">
        <v>14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4" t="s">
        <v>114</v>
      </c>
    </row>
    <row r="143" spans="1:16" ht="15.75" x14ac:dyDescent="0.25">
      <c r="A143" s="4" t="s">
        <v>314</v>
      </c>
      <c r="B143" s="4" t="s">
        <v>315</v>
      </c>
      <c r="C143" s="4"/>
      <c r="D143" s="4" t="s">
        <v>13</v>
      </c>
      <c r="E143" s="4" t="s">
        <v>14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4" t="s">
        <v>114</v>
      </c>
    </row>
    <row r="144" spans="1:16" ht="15.75" x14ac:dyDescent="0.25">
      <c r="A144" s="4" t="s">
        <v>316</v>
      </c>
      <c r="B144" s="4" t="s">
        <v>317</v>
      </c>
      <c r="C144" s="4"/>
      <c r="D144" s="4" t="s">
        <v>13</v>
      </c>
      <c r="E144" s="4" t="s">
        <v>14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4" t="s">
        <v>114</v>
      </c>
    </row>
    <row r="145" spans="1:16" ht="15.75" x14ac:dyDescent="0.25">
      <c r="A145" s="4" t="s">
        <v>318</v>
      </c>
      <c r="B145" s="4" t="s">
        <v>319</v>
      </c>
      <c r="C145" s="4"/>
      <c r="D145" s="4" t="s">
        <v>16</v>
      </c>
      <c r="E145" s="4" t="s">
        <v>14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4" t="s">
        <v>114</v>
      </c>
    </row>
    <row r="146" spans="1:16" ht="15.75" x14ac:dyDescent="0.25">
      <c r="A146" s="4" t="s">
        <v>320</v>
      </c>
      <c r="B146" s="4" t="s">
        <v>321</v>
      </c>
      <c r="C146" s="4"/>
      <c r="D146" s="4" t="s">
        <v>127</v>
      </c>
      <c r="E146" s="4" t="s">
        <v>14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4" t="s">
        <v>114</v>
      </c>
    </row>
    <row r="147" spans="1:16" ht="15.75" x14ac:dyDescent="0.25">
      <c r="A147" s="4" t="s">
        <v>322</v>
      </c>
      <c r="B147" s="4" t="s">
        <v>323</v>
      </c>
      <c r="C147" s="4"/>
      <c r="D147" s="4" t="s">
        <v>13</v>
      </c>
      <c r="E147" s="4" t="s">
        <v>14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4" t="s">
        <v>114</v>
      </c>
    </row>
    <row r="148" spans="1:16" ht="15.75" x14ac:dyDescent="0.25">
      <c r="A148" s="4" t="s">
        <v>324</v>
      </c>
      <c r="B148" s="4" t="s">
        <v>325</v>
      </c>
      <c r="C148" s="4"/>
      <c r="D148" s="4" t="s">
        <v>326</v>
      </c>
      <c r="E148" s="4" t="s">
        <v>14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4" t="s">
        <v>114</v>
      </c>
    </row>
    <row r="149" spans="1:16" ht="15.75" x14ac:dyDescent="0.25">
      <c r="A149" s="4" t="s">
        <v>327</v>
      </c>
      <c r="B149" s="4" t="s">
        <v>328</v>
      </c>
      <c r="C149" s="4"/>
      <c r="D149" s="4" t="s">
        <v>326</v>
      </c>
      <c r="E149" s="4" t="s">
        <v>14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4" t="s">
        <v>114</v>
      </c>
    </row>
    <row r="150" spans="1:16" ht="15.75" x14ac:dyDescent="0.25">
      <c r="A150" s="4" t="s">
        <v>329</v>
      </c>
      <c r="B150" s="4" t="s">
        <v>330</v>
      </c>
      <c r="C150" s="4"/>
      <c r="D150" s="4" t="s">
        <v>326</v>
      </c>
      <c r="E150" s="4" t="s">
        <v>14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4" t="s">
        <v>114</v>
      </c>
    </row>
    <row r="151" spans="1:16" ht="15.75" x14ac:dyDescent="0.25">
      <c r="A151" s="4" t="s">
        <v>331</v>
      </c>
      <c r="B151" s="4" t="s">
        <v>332</v>
      </c>
      <c r="C151" s="4"/>
      <c r="D151" s="4" t="s">
        <v>326</v>
      </c>
      <c r="E151" s="4" t="s">
        <v>14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4" t="s">
        <v>114</v>
      </c>
    </row>
    <row r="152" spans="1:16" ht="15.75" x14ac:dyDescent="0.25">
      <c r="A152" s="4" t="s">
        <v>333</v>
      </c>
      <c r="B152" s="4" t="s">
        <v>334</v>
      </c>
      <c r="C152" s="4"/>
      <c r="D152" s="4" t="s">
        <v>326</v>
      </c>
      <c r="E152" s="4" t="s">
        <v>14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4" t="s">
        <v>114</v>
      </c>
    </row>
    <row r="153" spans="1:16" ht="15.75" x14ac:dyDescent="0.25">
      <c r="A153" s="4" t="s">
        <v>335</v>
      </c>
      <c r="B153" s="4" t="s">
        <v>336</v>
      </c>
      <c r="C153" s="4"/>
      <c r="D153" s="4" t="s">
        <v>326</v>
      </c>
      <c r="E153" s="4" t="s">
        <v>14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4" t="s">
        <v>114</v>
      </c>
    </row>
    <row r="154" spans="1:16" ht="15.75" x14ac:dyDescent="0.25">
      <c r="A154" s="4" t="s">
        <v>337</v>
      </c>
      <c r="B154" s="4" t="s">
        <v>338</v>
      </c>
      <c r="C154" s="4"/>
      <c r="D154" s="4" t="s">
        <v>326</v>
      </c>
      <c r="E154" s="4" t="s">
        <v>14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4" t="s">
        <v>114</v>
      </c>
    </row>
    <row r="155" spans="1:16" ht="15.75" x14ac:dyDescent="0.25">
      <c r="A155" s="4" t="s">
        <v>339</v>
      </c>
      <c r="B155" s="4" t="s">
        <v>340</v>
      </c>
      <c r="C155" s="4"/>
      <c r="D155" s="4" t="s">
        <v>326</v>
      </c>
      <c r="E155" s="4" t="s">
        <v>14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4" t="s">
        <v>114</v>
      </c>
    </row>
    <row r="156" spans="1:16" ht="15.75" x14ac:dyDescent="0.25">
      <c r="A156" s="4" t="s">
        <v>341</v>
      </c>
      <c r="B156" s="4" t="s">
        <v>342</v>
      </c>
      <c r="C156" s="4"/>
      <c r="D156" s="4" t="s">
        <v>326</v>
      </c>
      <c r="E156" s="4" t="s">
        <v>14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4" t="s">
        <v>114</v>
      </c>
    </row>
    <row r="157" spans="1:16" ht="15.75" x14ac:dyDescent="0.25">
      <c r="A157" s="4" t="s">
        <v>343</v>
      </c>
      <c r="B157" s="4" t="s">
        <v>344</v>
      </c>
      <c r="C157" s="4"/>
      <c r="D157" s="4" t="s">
        <v>326</v>
      </c>
      <c r="E157" s="4" t="s">
        <v>14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4" t="s">
        <v>114</v>
      </c>
    </row>
    <row r="158" spans="1:16" ht="15.75" x14ac:dyDescent="0.25">
      <c r="A158" s="4" t="s">
        <v>345</v>
      </c>
      <c r="B158" s="4" t="s">
        <v>346</v>
      </c>
      <c r="C158" s="4"/>
      <c r="D158" s="4" t="s">
        <v>326</v>
      </c>
      <c r="E158" s="4" t="s">
        <v>14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4" t="s">
        <v>114</v>
      </c>
    </row>
    <row r="159" spans="1:16" ht="15.75" x14ac:dyDescent="0.25">
      <c r="A159" s="4" t="s">
        <v>347</v>
      </c>
      <c r="B159" s="4" t="s">
        <v>348</v>
      </c>
      <c r="C159" s="4"/>
      <c r="D159" s="4" t="s">
        <v>326</v>
      </c>
      <c r="E159" s="4" t="s">
        <v>14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4" t="s">
        <v>114</v>
      </c>
    </row>
    <row r="160" spans="1:16" ht="15.75" x14ac:dyDescent="0.25">
      <c r="A160" s="4" t="s">
        <v>349</v>
      </c>
      <c r="B160" s="4" t="s">
        <v>350</v>
      </c>
      <c r="C160" s="4"/>
      <c r="D160" s="4" t="s">
        <v>326</v>
      </c>
      <c r="E160" s="4" t="s">
        <v>14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4" t="s">
        <v>114</v>
      </c>
    </row>
    <row r="161" spans="1:16" ht="15.75" x14ac:dyDescent="0.25">
      <c r="A161" s="4" t="s">
        <v>351</v>
      </c>
      <c r="B161" s="4" t="s">
        <v>352</v>
      </c>
      <c r="C161" s="4"/>
      <c r="D161" s="4" t="s">
        <v>326</v>
      </c>
      <c r="E161" s="4" t="s">
        <v>14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4" t="s">
        <v>114</v>
      </c>
    </row>
    <row r="162" spans="1:16" ht="15.75" x14ac:dyDescent="0.25">
      <c r="A162" s="4" t="s">
        <v>353</v>
      </c>
      <c r="B162" s="4" t="s">
        <v>354</v>
      </c>
      <c r="C162" s="4"/>
      <c r="D162" s="4" t="s">
        <v>326</v>
      </c>
      <c r="E162" s="4" t="s">
        <v>14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4" t="s">
        <v>114</v>
      </c>
    </row>
    <row r="163" spans="1:16" ht="15.75" x14ac:dyDescent="0.25">
      <c r="A163" s="4" t="s">
        <v>355</v>
      </c>
      <c r="B163" s="4" t="s">
        <v>356</v>
      </c>
      <c r="C163" s="4"/>
      <c r="D163" s="4" t="s">
        <v>326</v>
      </c>
      <c r="E163" s="4" t="s">
        <v>14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4" t="s">
        <v>114</v>
      </c>
    </row>
    <row r="164" spans="1:16" ht="15.75" x14ac:dyDescent="0.25">
      <c r="A164" s="4" t="s">
        <v>357</v>
      </c>
      <c r="B164" s="4" t="s">
        <v>358</v>
      </c>
      <c r="C164" s="4"/>
      <c r="D164" s="4" t="s">
        <v>326</v>
      </c>
      <c r="E164" s="4" t="s">
        <v>14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4" t="s">
        <v>114</v>
      </c>
    </row>
    <row r="165" spans="1:16" ht="15.75" x14ac:dyDescent="0.25">
      <c r="A165" s="4" t="s">
        <v>359</v>
      </c>
      <c r="B165" s="4" t="s">
        <v>360</v>
      </c>
      <c r="C165" s="4"/>
      <c r="D165" s="4" t="s">
        <v>16</v>
      </c>
      <c r="E165" s="4" t="s">
        <v>14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4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Chavarria</dc:creator>
  <cp:lastModifiedBy>MELISSA DEL CARMEN FERNANDEZ FONSECA</cp:lastModifiedBy>
  <dcterms:created xsi:type="dcterms:W3CDTF">2025-09-01T21:06:58Z</dcterms:created>
  <dcterms:modified xsi:type="dcterms:W3CDTF">2026-03-16T14:55:35Z</dcterms:modified>
</cp:coreProperties>
</file>